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Entry" sheetId="1" state="visible" r:id="rId1"/>
    <sheet name="Daily Log" sheetId="2" state="visible" r:id="rId2"/>
    <sheet name="Position" sheetId="3" state="visible" r:id="rId3"/>
    <sheet name="Greek History" sheetId="4" state="visible" r:id="rId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8">
    <numFmt numFmtId="164" formatCode="\$#,##0.00"/>
    <numFmt numFmtId="165" formatCode="yyyy\-mm\-dd"/>
    <numFmt numFmtId="166" formatCode="\$#,##0;&quot;($&quot;#,##0\);\-"/>
    <numFmt numFmtId="167" formatCode="0.000"/>
    <numFmt numFmtId="168" formatCode="\+#,##0.0;\-#,##0.0;0"/>
    <numFmt numFmtId="169" formatCode="yyyy-mm-dd"/>
    <numFmt numFmtId="170" formatCode="0.0"/>
    <numFmt numFmtId="171" formatCode="#,##0.00;[Red]-#,##0.00"/>
  </numFmts>
  <fonts count="22">
    <font>
      <name val="Calibri"/>
      <charset val="1"/>
      <family val="0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theme="1"/>
      <sz val="13"/>
    </font>
    <font>
      <name val="Arial"/>
      <charset val="1"/>
      <family val="0"/>
      <i val="1"/>
      <color rgb="FF808080"/>
      <sz val="9"/>
    </font>
    <font>
      <name val="Arial"/>
      <charset val="1"/>
      <family val="0"/>
      <b val="1"/>
      <color theme="1"/>
      <sz val="10"/>
    </font>
    <font>
      <name val="Arial"/>
      <charset val="1"/>
      <family val="0"/>
      <color theme="1"/>
      <sz val="10"/>
    </font>
    <font>
      <name val="Arial"/>
      <charset val="1"/>
      <family val="0"/>
      <b val="1"/>
      <color rgb="FF0000FF"/>
      <sz val="10"/>
    </font>
    <font>
      <name val="Arial"/>
      <charset val="1"/>
      <family val="0"/>
      <color rgb="FF000000"/>
      <sz val="10"/>
    </font>
    <font>
      <name val="Arial"/>
      <charset val="1"/>
      <family val="0"/>
      <i val="1"/>
      <color rgb="FF808080"/>
      <sz val="8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000000"/>
      <sz val="9"/>
    </font>
    <font>
      <name val="Arial"/>
      <charset val="1"/>
      <family val="0"/>
      <b val="1"/>
      <color rgb="FF0000FF"/>
      <sz val="9"/>
    </font>
    <font>
      <name val="Arial"/>
      <charset val="1"/>
      <family val="0"/>
      <color rgb="FF008000"/>
      <sz val="9"/>
    </font>
    <font>
      <name val="Arial"/>
      <charset val="1"/>
      <family val="0"/>
      <color rgb="FF000000"/>
      <sz val="9"/>
    </font>
    <font>
      <name val="Arial"/>
      <charset val="1"/>
      <family val="0"/>
      <i val="1"/>
      <color rgb="FF000000"/>
      <sz val="9"/>
    </font>
    <font>
      <name val="Arial"/>
      <charset val="1"/>
      <family val="0"/>
      <color rgb="FF0000FF"/>
      <sz val="9"/>
    </font>
    <font>
      <name val="Arial"/>
      <charset val="1"/>
      <family val="0"/>
      <b val="1"/>
      <color theme="1"/>
      <sz val="9"/>
    </font>
    <font>
      <name val="Arial"/>
      <charset val="1"/>
      <family val="0"/>
      <b val="1"/>
      <i val="1"/>
      <color rgb="FF808080"/>
      <sz val="9"/>
    </font>
    <font>
      <name val="Arial"/>
      <charset val="1"/>
      <family val="0"/>
      <i val="1"/>
      <sz val="9"/>
    </font>
    <font>
      <b val="1"/>
    </font>
  </fonts>
  <fills count="6">
    <fill>
      <patternFill/>
    </fill>
    <fill>
      <patternFill patternType="gray125"/>
    </fill>
    <fill>
      <patternFill patternType="solid">
        <fgColor rgb="FFF2F2F2"/>
        <bgColor rgb="FFEAF1DD"/>
      </patternFill>
    </fill>
    <fill>
      <patternFill patternType="solid">
        <fgColor rgb="FFFFFF00"/>
        <bgColor rgb="FFFFFF00"/>
      </patternFill>
    </fill>
    <fill>
      <patternFill patternType="solid">
        <fgColor rgb="FFD9D9D9"/>
        <bgColor rgb="FFEAF1DD"/>
      </patternFill>
    </fill>
    <fill>
      <patternFill patternType="solid">
        <fgColor rgb="FFEAF1DD"/>
        <b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39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3" borderId="1" applyAlignment="1" pivotButton="0" quotePrefix="0" xfId="0">
      <alignment horizontal="right" vertical="bottom"/>
    </xf>
    <xf numFmtId="164" fontId="8" fillId="3" borderId="1" applyAlignment="1" pivotButton="0" quotePrefix="0" xfId="0">
      <alignment horizontal="right" vertical="bottom"/>
    </xf>
    <xf numFmtId="165" fontId="8" fillId="3" borderId="1" applyAlignment="1" pivotButton="0" quotePrefix="0" xfId="0">
      <alignment horizontal="right" vertical="bottom"/>
    </xf>
    <xf numFmtId="1" fontId="8" fillId="3" borderId="1" applyAlignment="1" pivotButton="0" quotePrefix="0" xfId="0">
      <alignment horizontal="right" vertical="bottom"/>
    </xf>
    <xf numFmtId="165" fontId="8" fillId="3" borderId="1" applyAlignment="1" pivotButton="0" quotePrefix="0" xfId="0">
      <alignment horizontal="general" vertical="bottom"/>
    </xf>
    <xf numFmtId="164" fontId="8" fillId="3" borderId="1" applyAlignment="1" pivotButton="0" quotePrefix="0" xfId="0">
      <alignment horizontal="general" vertical="bottom"/>
    </xf>
    <xf numFmtId="1" fontId="9" fillId="0" borderId="1" applyAlignment="1" pivotButton="0" quotePrefix="0" xfId="0">
      <alignment horizontal="right" vertical="bottom"/>
    </xf>
    <xf numFmtId="166" fontId="9" fillId="0" borderId="1" applyAlignment="1" pivotButton="0" quotePrefix="0" xfId="0">
      <alignment horizontal="right" vertical="bottom"/>
    </xf>
    <xf numFmtId="10" fontId="8" fillId="3" borderId="1" applyAlignment="1" pivotButton="0" quotePrefix="0" xfId="0">
      <alignment horizontal="general" vertical="bottom"/>
    </xf>
    <xf numFmtId="10" fontId="9" fillId="0" borderId="1" applyAlignment="1" pivotButton="0" quotePrefix="0" xfId="0">
      <alignment horizontal="right" vertical="bottom"/>
    </xf>
    <xf numFmtId="167" fontId="8" fillId="3" borderId="1" applyAlignment="1" pivotButton="0" quotePrefix="0" xfId="0">
      <alignment horizontal="general" vertical="bottom"/>
    </xf>
    <xf numFmtId="167" fontId="9" fillId="0" borderId="1" applyAlignment="1" pivotButton="0" quotePrefix="0" xfId="0">
      <alignment horizontal="right" vertical="bottom"/>
    </xf>
    <xf numFmtId="0" fontId="8" fillId="3" borderId="1" applyAlignment="1" pivotButton="0" quotePrefix="0" xfId="0">
      <alignment horizontal="general" vertical="bottom"/>
    </xf>
    <xf numFmtId="164" fontId="9" fillId="0" borderId="1" applyAlignment="1" pivotButton="0" quotePrefix="0" xfId="0">
      <alignment horizontal="right" vertical="bottom"/>
    </xf>
    <xf numFmtId="0" fontId="8" fillId="3" borderId="1" applyAlignment="1" pivotButton="0" quotePrefix="0" xfId="0">
      <alignment horizontal="left" vertical="bottom" wrapText="1"/>
    </xf>
    <xf numFmtId="0" fontId="10" fillId="0" borderId="0" applyAlignment="1" pivotButton="0" quotePrefix="0" xfId="0">
      <alignment horizontal="general" vertical="bottom" wrapText="1"/>
    </xf>
    <xf numFmtId="0" fontId="11" fillId="0" borderId="0" applyAlignment="1" pivotButton="0" quotePrefix="0" xfId="0">
      <alignment horizontal="general" vertical="bottom"/>
    </xf>
    <xf numFmtId="0" fontId="12" fillId="4" borderId="1" applyAlignment="1" pivotButton="0" quotePrefix="0" xfId="0">
      <alignment horizontal="center" vertical="bottom" wrapText="1"/>
    </xf>
    <xf numFmtId="0" fontId="13" fillId="4" borderId="1" applyAlignment="1" pivotButton="0" quotePrefix="0" xfId="0">
      <alignment horizontal="center" vertical="bottom" wrapText="1"/>
    </xf>
    <xf numFmtId="0" fontId="13" fillId="4" borderId="0" applyAlignment="1" pivotButton="0" quotePrefix="0" xfId="0">
      <alignment horizontal="general" vertical="bottom"/>
    </xf>
    <xf numFmtId="0" fontId="12" fillId="4" borderId="0" applyAlignment="1" pivotButton="0" quotePrefix="0" xfId="0">
      <alignment horizontal="general" vertical="bottom"/>
    </xf>
    <xf numFmtId="165" fontId="14" fillId="5" borderId="1" applyAlignment="1" pivotButton="0" quotePrefix="0" xfId="0">
      <alignment horizontal="general" vertical="bottom"/>
    </xf>
    <xf numFmtId="1" fontId="15" fillId="5" borderId="1" applyAlignment="1" pivotButton="0" quotePrefix="0" xfId="0">
      <alignment horizontal="general" vertical="bottom"/>
    </xf>
    <xf numFmtId="164" fontId="14" fillId="5" borderId="1" applyAlignment="1" pivotButton="0" quotePrefix="0" xfId="0">
      <alignment horizontal="general" vertical="bottom"/>
    </xf>
    <xf numFmtId="0" fontId="15" fillId="5" borderId="1" applyAlignment="1" pivotButton="0" quotePrefix="0" xfId="0">
      <alignment horizontal="general" vertical="bottom"/>
    </xf>
    <xf numFmtId="0" fontId="16" fillId="5" borderId="1" applyAlignment="1" pivotButton="0" quotePrefix="0" xfId="0">
      <alignment horizontal="general" vertical="bottom"/>
    </xf>
    <xf numFmtId="165" fontId="15" fillId="0" borderId="1" applyAlignment="1" pivotButton="0" quotePrefix="0" xfId="0">
      <alignment horizontal="center" vertical="bottom"/>
    </xf>
    <xf numFmtId="1" fontId="15" fillId="0" borderId="1" applyAlignment="1" pivotButton="0" quotePrefix="0" xfId="0">
      <alignment horizontal="center" vertical="bottom"/>
    </xf>
    <xf numFmtId="164" fontId="17" fillId="3" borderId="1" applyAlignment="1" pivotButton="0" quotePrefix="0" xfId="0">
      <alignment horizontal="center" vertical="bottom"/>
    </xf>
    <xf numFmtId="10" fontId="15" fillId="0" borderId="1" applyAlignment="1" pivotButton="0" quotePrefix="0" xfId="0">
      <alignment horizontal="center" vertical="bottom"/>
    </xf>
    <xf numFmtId="0" fontId="15" fillId="0" borderId="1" applyAlignment="1" pivotButton="0" quotePrefix="0" xfId="0">
      <alignment horizontal="center" vertical="bottom"/>
    </xf>
    <xf numFmtId="10" fontId="17" fillId="3" borderId="1" applyAlignment="1" pivotButton="0" quotePrefix="0" xfId="0">
      <alignment horizontal="center" vertical="bottom"/>
    </xf>
    <xf numFmtId="166" fontId="15" fillId="0" borderId="1" applyAlignment="1" pivotButton="0" quotePrefix="0" xfId="0">
      <alignment horizontal="center" vertical="bottom"/>
    </xf>
    <xf numFmtId="2" fontId="15" fillId="0" borderId="1" applyAlignment="1" pivotButton="0" quotePrefix="0" xfId="0">
      <alignment horizontal="left" vertical="bottom"/>
    </xf>
    <xf numFmtId="164" fontId="15" fillId="0" borderId="1" applyAlignment="1" pivotButton="0" quotePrefix="0" xfId="0">
      <alignment horizontal="left" vertical="bottom"/>
    </xf>
    <xf numFmtId="0" fontId="17" fillId="3" borderId="1" applyAlignment="1" pivotButton="0" quotePrefix="0" xfId="0">
      <alignment horizontal="left" vertical="bottom"/>
    </xf>
    <xf numFmtId="164" fontId="17" fillId="3" borderId="0" applyAlignment="1" pivotButton="0" quotePrefix="0" xfId="0">
      <alignment horizontal="general" vertical="bottom"/>
    </xf>
    <xf numFmtId="168" fontId="15" fillId="0" borderId="0" applyAlignment="1" pivotButton="0" quotePrefix="0" xfId="0">
      <alignment horizontal="general" vertical="bottom"/>
    </xf>
    <xf numFmtId="0" fontId="10" fillId="3" borderId="1" applyAlignment="1" pivotButton="0" quotePrefix="0" xfId="0">
      <alignment horizontal="left" vertical="bottom"/>
    </xf>
    <xf numFmtId="0" fontId="18" fillId="3" borderId="1" applyAlignment="1" pivotButton="0" quotePrefix="0" xfId="0">
      <alignment horizontal="left" vertical="bottom"/>
    </xf>
    <xf numFmtId="1" fontId="6" fillId="0" borderId="1" applyAlignment="1" pivotButton="0" quotePrefix="0" xfId="0">
      <alignment horizontal="right" vertical="bottom"/>
    </xf>
    <xf numFmtId="10" fontId="6" fillId="0" borderId="1" applyAlignment="1" pivotButton="0" quotePrefix="0" xfId="0">
      <alignment horizontal="right" vertical="bottom"/>
    </xf>
    <xf numFmtId="166" fontId="6" fillId="0" borderId="1" applyAlignment="1" pivotButton="0" quotePrefix="0" xfId="0">
      <alignment horizontal="right" vertical="bottom"/>
    </xf>
    <xf numFmtId="0" fontId="10" fillId="0" borderId="0" applyAlignment="1" pivotButton="0" quotePrefix="0" xfId="0">
      <alignment horizontal="general" vertical="bottom"/>
    </xf>
    <xf numFmtId="0" fontId="19" fillId="0" borderId="0" applyAlignment="1" pivotButton="0" quotePrefix="0" xfId="0">
      <alignment horizontal="general" vertical="bottom"/>
    </xf>
    <xf numFmtId="165" fontId="5" fillId="0" borderId="1" applyAlignment="1" pivotButton="0" quotePrefix="0" xfId="0">
      <alignment horizontal="center" vertical="bottom"/>
    </xf>
    <xf numFmtId="1" fontId="5" fillId="0" borderId="1" applyAlignment="1" pivotButton="0" quotePrefix="0" xfId="0">
      <alignment horizontal="center" vertical="bottom"/>
    </xf>
    <xf numFmtId="164" fontId="5" fillId="0" borderId="1" applyAlignment="1" pivotButton="0" quotePrefix="0" xfId="0">
      <alignment horizontal="center" vertical="bottom"/>
    </xf>
    <xf numFmtId="10" fontId="5" fillId="0" borderId="1" applyAlignment="1" pivotButton="0" quotePrefix="0" xfId="0">
      <alignment horizontal="center" vertical="bottom"/>
    </xf>
    <xf numFmtId="0" fontId="5" fillId="0" borderId="1" applyAlignment="1" pivotButton="0" quotePrefix="0" xfId="0">
      <alignment horizontal="center" vertical="bottom"/>
    </xf>
    <xf numFmtId="166" fontId="5" fillId="0" borderId="1" applyAlignment="1" pivotButton="0" quotePrefix="0" xfId="0">
      <alignment horizontal="center" vertical="bottom"/>
    </xf>
    <xf numFmtId="0" fontId="5" fillId="0" borderId="1" applyAlignment="1" pivotButton="0" quotePrefix="0" xfId="0">
      <alignment horizontal="left" vertical="bottom"/>
    </xf>
    <xf numFmtId="0" fontId="12" fillId="0" borderId="0" applyAlignment="1" pivotButton="0" quotePrefix="0" xfId="0">
      <alignment horizontal="general" vertical="bottom"/>
    </xf>
    <xf numFmtId="0" fontId="20" fillId="0" borderId="0" applyAlignment="1" pivotButton="0" quotePrefix="0" xfId="0">
      <alignment horizontal="general" vertical="bottom"/>
    </xf>
    <xf numFmtId="0" fontId="17" fillId="3" borderId="0" applyAlignment="1" pivotButton="0" quotePrefix="0" xfId="0">
      <alignment horizontal="general" vertical="bottom"/>
    </xf>
    <xf numFmtId="165" fontId="17" fillId="3" borderId="0" applyAlignment="1" pivotButton="0" quotePrefix="0" xfId="0">
      <alignment horizontal="general" vertical="bottom"/>
    </xf>
    <xf numFmtId="10" fontId="17" fillId="3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3" borderId="1" applyAlignment="1" pivotButton="0" quotePrefix="0" xfId="0">
      <alignment horizontal="right" vertical="bottom"/>
    </xf>
    <xf numFmtId="164" fontId="8" fillId="3" borderId="1" applyAlignment="1" pivotButton="0" quotePrefix="0" xfId="0">
      <alignment horizontal="right" vertical="bottom"/>
    </xf>
    <xf numFmtId="165" fontId="8" fillId="3" borderId="1" applyAlignment="1" pivotButton="0" quotePrefix="0" xfId="0">
      <alignment horizontal="right" vertical="bottom"/>
    </xf>
    <xf numFmtId="1" fontId="8" fillId="3" borderId="1" applyAlignment="1" pivotButton="0" quotePrefix="0" xfId="0">
      <alignment horizontal="right" vertical="bottom"/>
    </xf>
    <xf numFmtId="165" fontId="8" fillId="3" borderId="1" applyAlignment="1" pivotButton="0" quotePrefix="0" xfId="0">
      <alignment horizontal="general" vertical="bottom"/>
    </xf>
    <xf numFmtId="164" fontId="8" fillId="3" borderId="1" applyAlignment="1" pivotButton="0" quotePrefix="0" xfId="0">
      <alignment horizontal="general" vertical="bottom"/>
    </xf>
    <xf numFmtId="1" fontId="9" fillId="0" borderId="1" applyAlignment="1" pivotButton="0" quotePrefix="0" xfId="0">
      <alignment horizontal="right" vertical="bottom"/>
    </xf>
    <xf numFmtId="166" fontId="9" fillId="0" borderId="1" applyAlignment="1" pivotButton="0" quotePrefix="0" xfId="0">
      <alignment horizontal="right" vertical="bottom"/>
    </xf>
    <xf numFmtId="10" fontId="8" fillId="3" borderId="1" applyAlignment="1" pivotButton="0" quotePrefix="0" xfId="0">
      <alignment horizontal="general" vertical="bottom"/>
    </xf>
    <xf numFmtId="10" fontId="9" fillId="0" borderId="1" applyAlignment="1" pivotButton="0" quotePrefix="0" xfId="0">
      <alignment horizontal="right" vertical="bottom"/>
    </xf>
    <xf numFmtId="167" fontId="8" fillId="3" borderId="1" applyAlignment="1" pivotButton="0" quotePrefix="0" xfId="0">
      <alignment horizontal="general" vertical="bottom"/>
    </xf>
    <xf numFmtId="167" fontId="9" fillId="0" borderId="1" applyAlignment="1" pivotButton="0" quotePrefix="0" xfId="0">
      <alignment horizontal="right" vertical="bottom"/>
    </xf>
    <xf numFmtId="0" fontId="8" fillId="3" borderId="1" applyAlignment="1" pivotButton="0" quotePrefix="0" xfId="0">
      <alignment horizontal="general" vertical="bottom"/>
    </xf>
    <xf numFmtId="164" fontId="9" fillId="0" borderId="1" applyAlignment="1" pivotButton="0" quotePrefix="0" xfId="0">
      <alignment horizontal="right" vertical="bottom"/>
    </xf>
    <xf numFmtId="0" fontId="8" fillId="3" borderId="1" applyAlignment="1" pivotButton="0" quotePrefix="0" xfId="0">
      <alignment horizontal="left" vertical="bottom" wrapText="1"/>
    </xf>
    <xf numFmtId="0" fontId="10" fillId="0" borderId="0" applyAlignment="1" pivotButton="0" quotePrefix="0" xfId="0">
      <alignment horizontal="general" vertical="bottom" wrapText="1"/>
    </xf>
    <xf numFmtId="0" fontId="11" fillId="0" borderId="0" applyAlignment="1" pivotButton="0" quotePrefix="0" xfId="0">
      <alignment horizontal="general" vertical="bottom"/>
    </xf>
    <xf numFmtId="0" fontId="12" fillId="4" borderId="1" applyAlignment="1" pivotButton="0" quotePrefix="0" xfId="0">
      <alignment horizontal="center" vertical="bottom" wrapText="1"/>
    </xf>
    <xf numFmtId="0" fontId="13" fillId="4" borderId="1" applyAlignment="1" pivotButton="0" quotePrefix="0" xfId="0">
      <alignment horizontal="center" vertical="bottom" wrapText="1"/>
    </xf>
    <xf numFmtId="0" fontId="13" fillId="4" borderId="0" applyAlignment="1" pivotButton="0" quotePrefix="0" xfId="0">
      <alignment horizontal="general" vertical="bottom"/>
    </xf>
    <xf numFmtId="0" fontId="12" fillId="4" borderId="0" applyAlignment="1" pivotButton="0" quotePrefix="0" xfId="0">
      <alignment horizontal="general" vertical="bottom"/>
    </xf>
    <xf numFmtId="165" fontId="14" fillId="5" borderId="1" applyAlignment="1" pivotButton="0" quotePrefix="0" xfId="0">
      <alignment horizontal="general" vertical="bottom"/>
    </xf>
    <xf numFmtId="1" fontId="15" fillId="5" borderId="1" applyAlignment="1" pivotButton="0" quotePrefix="0" xfId="0">
      <alignment horizontal="general" vertical="bottom"/>
    </xf>
    <xf numFmtId="164" fontId="14" fillId="5" borderId="1" applyAlignment="1" pivotButton="0" quotePrefix="0" xfId="0">
      <alignment horizontal="general" vertical="bottom"/>
    </xf>
    <xf numFmtId="0" fontId="15" fillId="5" borderId="1" applyAlignment="1" pivotButton="0" quotePrefix="0" xfId="0">
      <alignment horizontal="general" vertical="bottom"/>
    </xf>
    <xf numFmtId="0" fontId="16" fillId="5" borderId="1" applyAlignment="1" pivotButton="0" quotePrefix="0" xfId="0">
      <alignment horizontal="general" vertical="bottom"/>
    </xf>
    <xf numFmtId="165" fontId="15" fillId="0" borderId="1" applyAlignment="1" pivotButton="0" quotePrefix="0" xfId="0">
      <alignment horizontal="center" vertical="bottom"/>
    </xf>
    <xf numFmtId="1" fontId="15" fillId="0" borderId="1" applyAlignment="1" pivotButton="0" quotePrefix="0" xfId="0">
      <alignment horizontal="center" vertical="bottom"/>
    </xf>
    <xf numFmtId="164" fontId="17" fillId="3" borderId="1" applyAlignment="1" pivotButton="0" quotePrefix="0" xfId="0">
      <alignment horizontal="center" vertical="bottom"/>
    </xf>
    <xf numFmtId="10" fontId="15" fillId="0" borderId="1" applyAlignment="1" pivotButton="0" quotePrefix="0" xfId="0">
      <alignment horizontal="center" vertical="bottom"/>
    </xf>
    <xf numFmtId="0" fontId="15" fillId="0" borderId="1" applyAlignment="1" pivotButton="0" quotePrefix="0" xfId="0">
      <alignment horizontal="center" vertical="bottom"/>
    </xf>
    <xf numFmtId="10" fontId="17" fillId="3" borderId="1" applyAlignment="1" pivotButton="0" quotePrefix="0" xfId="0">
      <alignment horizontal="center" vertical="bottom"/>
    </xf>
    <xf numFmtId="166" fontId="15" fillId="0" borderId="1" applyAlignment="1" pivotButton="0" quotePrefix="0" xfId="0">
      <alignment horizontal="center" vertical="bottom"/>
    </xf>
    <xf numFmtId="2" fontId="15" fillId="0" borderId="1" applyAlignment="1" pivotButton="0" quotePrefix="0" xfId="0">
      <alignment horizontal="left" vertical="bottom"/>
    </xf>
    <xf numFmtId="164" fontId="15" fillId="0" borderId="1" applyAlignment="1" pivotButton="0" quotePrefix="0" xfId="0">
      <alignment horizontal="left" vertical="bottom"/>
    </xf>
    <xf numFmtId="0" fontId="17" fillId="3" borderId="1" applyAlignment="1" pivotButton="0" quotePrefix="0" xfId="0">
      <alignment horizontal="left" vertical="bottom"/>
    </xf>
    <xf numFmtId="164" fontId="17" fillId="3" borderId="0" applyAlignment="1" pivotButton="0" quotePrefix="0" xfId="0">
      <alignment horizontal="general" vertical="bottom"/>
    </xf>
    <xf numFmtId="168" fontId="15" fillId="0" borderId="0" applyAlignment="1" pivotButton="0" quotePrefix="0" xfId="0">
      <alignment horizontal="general" vertical="bottom"/>
    </xf>
    <xf numFmtId="0" fontId="10" fillId="3" borderId="1" applyAlignment="1" pivotButton="0" quotePrefix="0" xfId="0">
      <alignment horizontal="left" vertical="bottom"/>
    </xf>
    <xf numFmtId="0" fontId="18" fillId="3" borderId="1" applyAlignment="1" pivotButton="0" quotePrefix="0" xfId="0">
      <alignment horizontal="left" vertical="bottom"/>
    </xf>
    <xf numFmtId="1" fontId="6" fillId="0" borderId="1" applyAlignment="1" pivotButton="0" quotePrefix="0" xfId="0">
      <alignment horizontal="right" vertical="bottom"/>
    </xf>
    <xf numFmtId="10" fontId="6" fillId="0" borderId="1" applyAlignment="1" pivotButton="0" quotePrefix="0" xfId="0">
      <alignment horizontal="right" vertical="bottom"/>
    </xf>
    <xf numFmtId="166" fontId="6" fillId="0" borderId="1" applyAlignment="1" pivotButton="0" quotePrefix="0" xfId="0">
      <alignment horizontal="right" vertical="bottom"/>
    </xf>
    <xf numFmtId="0" fontId="10" fillId="0" borderId="0" applyAlignment="1" pivotButton="0" quotePrefix="0" xfId="0">
      <alignment horizontal="general" vertical="bottom"/>
    </xf>
    <xf numFmtId="0" fontId="19" fillId="0" borderId="0" applyAlignment="1" pivotButton="0" quotePrefix="0" xfId="0">
      <alignment horizontal="general" vertical="bottom"/>
    </xf>
    <xf numFmtId="165" fontId="5" fillId="0" borderId="1" applyAlignment="1" pivotButton="0" quotePrefix="0" xfId="0">
      <alignment horizontal="center" vertical="bottom"/>
    </xf>
    <xf numFmtId="1" fontId="5" fillId="0" borderId="1" applyAlignment="1" pivotButton="0" quotePrefix="0" xfId="0">
      <alignment horizontal="center" vertical="bottom"/>
    </xf>
    <xf numFmtId="164" fontId="5" fillId="0" borderId="1" applyAlignment="1" pivotButton="0" quotePrefix="0" xfId="0">
      <alignment horizontal="center" vertical="bottom"/>
    </xf>
    <xf numFmtId="10" fontId="5" fillId="0" borderId="1" applyAlignment="1" pivotButton="0" quotePrefix="0" xfId="0">
      <alignment horizontal="center" vertical="bottom"/>
    </xf>
    <xf numFmtId="0" fontId="5" fillId="0" borderId="1" applyAlignment="1" pivotButton="0" quotePrefix="0" xfId="0">
      <alignment horizontal="center" vertical="bottom"/>
    </xf>
    <xf numFmtId="166" fontId="5" fillId="0" borderId="1" applyAlignment="1" pivotButton="0" quotePrefix="0" xfId="0">
      <alignment horizontal="center" vertical="bottom"/>
    </xf>
    <xf numFmtId="0" fontId="5" fillId="0" borderId="1" applyAlignment="1" pivotButton="0" quotePrefix="0" xfId="0">
      <alignment horizontal="left" vertical="bottom"/>
    </xf>
    <xf numFmtId="0" fontId="12" fillId="0" borderId="0" applyAlignment="1" pivotButton="0" quotePrefix="0" xfId="0">
      <alignment horizontal="general" vertical="bottom"/>
    </xf>
    <xf numFmtId="0" fontId="20" fillId="0" borderId="0" applyAlignment="1" pivotButton="0" quotePrefix="0" xfId="0">
      <alignment horizontal="general" vertical="bottom"/>
    </xf>
    <xf numFmtId="0" fontId="17" fillId="3" borderId="0" applyAlignment="1" pivotButton="0" quotePrefix="0" xfId="0">
      <alignment horizontal="general" vertical="bottom"/>
    </xf>
    <xf numFmtId="165" fontId="17" fillId="3" borderId="0" applyAlignment="1" pivotButton="0" quotePrefix="0" xfId="0">
      <alignment horizontal="general" vertical="bottom"/>
    </xf>
    <xf numFmtId="10" fontId="17" fillId="3" borderId="0" applyAlignment="1" pivotButton="0" quotePrefix="0" xfId="0">
      <alignment horizontal="general" vertical="bottom"/>
    </xf>
    <xf numFmtId="0" fontId="21" fillId="0" borderId="0" pivotButton="0" quotePrefix="0" xfId="0"/>
    <xf numFmtId="169" fontId="0" fillId="0" borderId="0" pivotButton="0" quotePrefix="0" xfId="0"/>
    <xf numFmtId="2" fontId="0" fillId="0" borderId="0" pivotButton="0" quotePrefix="0" xfId="0"/>
    <xf numFmtId="10" fontId="0" fillId="0" borderId="0" pivotButton="0" quotePrefix="0" xfId="0"/>
    <xf numFmtId="167" fontId="0" fillId="0" borderId="0" pivotButton="0" quotePrefix="0" xfId="0"/>
    <xf numFmtId="4" fontId="0" fillId="0" borderId="0" pivotButton="0" quotePrefix="0" xfId="0"/>
    <xf numFmtId="170" fontId="0" fillId="0" borderId="0" pivotButton="0" quotePrefix="0" xfId="0"/>
    <xf numFmtId="169" fontId="21" fillId="0" borderId="0" pivotButton="0" quotePrefix="0" xfId="0"/>
    <xf numFmtId="2" fontId="21" fillId="0" borderId="0" pivotButton="0" quotePrefix="0" xfId="0"/>
    <xf numFmtId="4" fontId="21" fillId="0" borderId="0" pivotButton="0" quotePrefix="0" xfId="0"/>
    <xf numFmtId="171" fontId="21" fillId="0" borderId="0" pivotButton="0" quotePrefix="0" xfId="0"/>
    <xf numFmtId="170" fontId="21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EAF1DD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C44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3359375" defaultRowHeight="15" zeroHeight="0" outlineLevelRow="0"/>
  <cols>
    <col width="30" customWidth="1" style="63" min="1" max="2"/>
    <col width="46" customWidth="1" style="63" min="3" max="3"/>
    <col width="8.710000000000001" customWidth="1" style="63" min="4" max="26"/>
  </cols>
  <sheetData>
    <row r="1" ht="16.15" customHeight="1" s="64">
      <c r="A1" s="65" t="inlineStr">
        <is>
          <t>SPY LONG STRADDLE  —  IMPLIED vs REALIZED VOL  (PAPER)</t>
        </is>
      </c>
    </row>
    <row r="2" ht="15" customHeight="1" s="64">
      <c r="A2" s="66" t="inlineStr">
        <is>
          <t>Blue/yellow cells are inputs you fill in. Black cells are formulas — do not overwrite them.</t>
        </is>
      </c>
    </row>
    <row r="4" ht="15" customHeight="1" s="64">
      <c r="A4" s="67" t="inlineStr">
        <is>
          <t>POSITION</t>
        </is>
      </c>
      <c r="B4" s="68" t="n"/>
      <c r="C4" s="68" t="n"/>
    </row>
    <row r="5" ht="15" customHeight="1" s="64">
      <c r="A5" s="69" t="inlineStr">
        <is>
          <t>Underlying</t>
        </is>
      </c>
      <c r="B5" s="70" t="inlineStr">
        <is>
          <t>SPY</t>
        </is>
      </c>
    </row>
    <row r="6" ht="15" customHeight="1" s="64">
      <c r="A6" s="69" t="inlineStr">
        <is>
          <t>Structure</t>
        </is>
      </c>
      <c r="B6" s="70" t="inlineStr">
        <is>
          <t>Long straddle, 2 calls + 2 puts</t>
        </is>
      </c>
    </row>
    <row r="7" ht="15" customHeight="1" s="64">
      <c r="A7" s="69" t="inlineStr">
        <is>
          <t>Strike</t>
        </is>
      </c>
      <c r="B7" s="71" t="n">
        <v>764</v>
      </c>
    </row>
    <row r="8" ht="15" customHeight="1" s="64">
      <c r="A8" s="69" t="inlineStr">
        <is>
          <t>Expiration</t>
        </is>
      </c>
      <c r="B8" s="72" t="n">
        <v>46290</v>
      </c>
    </row>
    <row r="9" ht="15" customHeight="1" s="64">
      <c r="A9" s="69" t="inlineStr">
        <is>
          <t>Contracts per leg</t>
        </is>
      </c>
      <c r="B9" s="73" t="n">
        <v>2</v>
      </c>
    </row>
    <row r="10" ht="15" customHeight="1" s="64">
      <c r="A10" s="69" t="inlineStr">
        <is>
          <t>Entry date</t>
        </is>
      </c>
      <c r="B10" s="74" t="n">
        <v>46258</v>
      </c>
      <c r="C10" s="66" t="inlineStr">
        <is>
          <t>fill in: trade date</t>
        </is>
      </c>
    </row>
    <row r="11" ht="15" customHeight="1" s="64">
      <c r="A11" s="69" t="inlineStr">
        <is>
          <t>Spot at fill</t>
        </is>
      </c>
      <c r="B11" s="75" t="n">
        <v>763.66</v>
      </c>
      <c r="C11" s="66" t="inlineStr">
        <is>
          <t>SPY price at the moment of fill</t>
        </is>
      </c>
    </row>
    <row r="12" ht="15" customHeight="1" s="64">
      <c r="A12" s="69" t="inlineStr">
        <is>
          <t>DTE at entry (calendar)</t>
        </is>
      </c>
      <c r="B12" s="76">
        <f>IF($B$10="","",$B$8-$B$10)</f>
        <v/>
      </c>
    </row>
    <row r="13" ht="15" customHeight="1" s="64">
      <c r="A13" s="69" t="inlineStr">
        <is>
          <t>Debit per straddle</t>
        </is>
      </c>
      <c r="B13" s="71" t="n">
        <v>23.53</v>
      </c>
      <c r="C13" s="66" t="inlineStr">
        <is>
          <t>from order confirmation</t>
        </is>
      </c>
    </row>
    <row r="14" ht="15" customHeight="1" s="64">
      <c r="A14" s="69" t="inlineStr">
        <is>
          <t>Fees</t>
        </is>
      </c>
      <c r="B14" s="71" t="n">
        <v>0.2</v>
      </c>
    </row>
    <row r="15" ht="15" customHeight="1" s="64">
      <c r="A15" s="69" t="inlineStr">
        <is>
          <t>Total cost</t>
        </is>
      </c>
      <c r="B15" s="77">
        <f>$B$13*$B$9*100+$B$14</f>
        <v/>
      </c>
    </row>
    <row r="17" ht="15" customHeight="1" s="64">
      <c r="A17" s="67" t="inlineStr">
        <is>
          <t>ENTRY GREEKS &amp; IV   (pull from the Sep 25 chain, not the Sep 18 chain)</t>
        </is>
      </c>
      <c r="B17" s="68" t="n"/>
      <c r="C17" s="68" t="n"/>
    </row>
    <row r="18" ht="15" customHeight="1" s="64">
      <c r="A18" s="69" t="inlineStr">
        <is>
          <t>Call IV</t>
        </is>
      </c>
      <c r="B18" s="78" t="n">
        <v>0.128</v>
      </c>
      <c r="C18" s="66" t="inlineStr">
        <is>
          <t>enter as 12.8% or 0.128</t>
        </is>
      </c>
    </row>
    <row r="19" ht="15" customHeight="1" s="64">
      <c r="A19" s="69" t="inlineStr">
        <is>
          <t>Put IV</t>
        </is>
      </c>
      <c r="B19" s="78" t="n">
        <v>0.128</v>
      </c>
    </row>
    <row r="20" ht="15" customHeight="1" s="64">
      <c r="A20" s="69" t="inlineStr">
        <is>
          <t>ATM IV (average)</t>
        </is>
      </c>
      <c r="B20" s="79">
        <f>IF(COUNT($B$18:$B$19)=0,"",AVERAGE($B$18:$B$19))</f>
        <v/>
      </c>
      <c r="C20" s="66" t="inlineStr">
        <is>
          <t>this is the number the whole test runs against</t>
        </is>
      </c>
    </row>
    <row r="21" ht="15.75" customHeight="1" s="64">
      <c r="A21" s="69" t="inlineStr">
        <is>
          <t>Call delta</t>
        </is>
      </c>
      <c r="B21" s="80" t="n">
        <v>0.52</v>
      </c>
    </row>
    <row r="22" ht="15.75" customHeight="1" s="64">
      <c r="A22" s="69" t="inlineStr">
        <is>
          <t>Put delta (negative)</t>
        </is>
      </c>
      <c r="B22" s="80" t="n">
        <v>-0.5</v>
      </c>
    </row>
    <row r="23" ht="15.75" customHeight="1" s="64">
      <c r="A23" s="69" t="inlineStr">
        <is>
          <t>Net delta per straddle</t>
        </is>
      </c>
      <c r="B23" s="81">
        <f>IF(COUNT($B$21:$B$22)&lt;2,"",$B$21+$B$22)</f>
        <v/>
      </c>
      <c r="C23" s="66" t="inlineStr">
        <is>
          <t>the ATM residual — expect a small positive number</t>
        </is>
      </c>
    </row>
    <row r="24" ht="15.75" customHeight="1" s="64">
      <c r="A24" s="69" t="inlineStr">
        <is>
          <t>Position delta</t>
        </is>
      </c>
      <c r="B24" s="81">
        <f>IF($B$23="","",$B$23*$B$9)</f>
        <v/>
      </c>
    </row>
    <row r="25" ht="15.75" customHeight="1" s="64">
      <c r="A25" s="69" t="inlineStr">
        <is>
          <t>Position gamma</t>
        </is>
      </c>
      <c r="B25" s="82" t="n">
        <v>0.056</v>
      </c>
    </row>
    <row r="26" ht="15.75" customHeight="1" s="64">
      <c r="A26" s="69" t="inlineStr">
        <is>
          <t>Position theta ($/day)</t>
        </is>
      </c>
      <c r="B26" s="75" t="n">
        <v>-72.7</v>
      </c>
    </row>
    <row r="27" ht="15.75" customHeight="1" s="64">
      <c r="A27" s="69" t="inlineStr">
        <is>
          <t>Position vega ($/vol pt)</t>
        </is>
      </c>
      <c r="B27" s="75" t="n">
        <v>359.66</v>
      </c>
    </row>
    <row r="28" ht="15.75" customHeight="1" s="64"/>
    <row r="29" ht="15.75" customHeight="1" s="64">
      <c r="A29" s="67" t="inlineStr">
        <is>
          <t>DERIVED  —  THE BAR</t>
        </is>
      </c>
      <c r="B29" s="68" t="n"/>
      <c r="C29" s="68" t="n"/>
    </row>
    <row r="30" ht="15.75" customHeight="1" s="64">
      <c r="A30" s="69" t="inlineStr">
        <is>
          <t>Implied daily move (%)</t>
        </is>
      </c>
      <c r="B30" s="79">
        <f>IF($B$20="","",$B$20/SQRT(252))</f>
        <v/>
      </c>
      <c r="C30" s="66" t="inlineStr">
        <is>
          <t>ATM IV / SQRT(252) — the daily bar to beat</t>
        </is>
      </c>
    </row>
    <row r="31" ht="15.75" customHeight="1" s="64">
      <c r="A31" s="69" t="inlineStr">
        <is>
          <t>Implied daily move (pts)</t>
        </is>
      </c>
      <c r="B31" s="83">
        <f>IF(OR($B$30="",$B$11=""),"",$B$30*$B$11)</f>
        <v/>
      </c>
    </row>
    <row r="32" ht="15.75" customHeight="1" s="64">
      <c r="A32" s="69" t="inlineStr">
        <is>
          <t>Implied move to expiry (%)</t>
        </is>
      </c>
      <c r="B32" s="79">
        <f>IF(OR($B$20="",$B$12=""),"",$B$20*SQRT($B$12/365))</f>
        <v/>
      </c>
    </row>
    <row r="33" ht="15.75" customHeight="1" s="64">
      <c r="A33" s="69" t="inlineStr">
        <is>
          <t>Upper breakeven</t>
        </is>
      </c>
      <c r="B33" s="83">
        <f>$B$7+$B$13</f>
        <v/>
      </c>
    </row>
    <row r="34" ht="15.75" customHeight="1" s="64">
      <c r="A34" s="69" t="inlineStr">
        <is>
          <t>Lower breakeven</t>
        </is>
      </c>
      <c r="B34" s="83">
        <f>$B$7-$B$13</f>
        <v/>
      </c>
    </row>
    <row r="35" ht="15.75" customHeight="1" s="64">
      <c r="A35" s="69" t="inlineStr">
        <is>
          <t>Breakeven move (%)</t>
        </is>
      </c>
      <c r="B35" s="79">
        <f>IF($B$11="","",$B$13/$B$11)</f>
        <v/>
      </c>
      <c r="C35" s="66" t="inlineStr">
        <is>
          <t>what you paid, as a % move</t>
        </is>
      </c>
    </row>
    <row r="36" ht="15.75" customHeight="1" s="64"/>
    <row r="37" ht="15.75" customHeight="1" s="64">
      <c r="A37" s="67" t="inlineStr">
        <is>
          <t>THESIS &amp; RULES   (write these BEFORE you know anything)</t>
        </is>
      </c>
      <c r="B37" s="68" t="n"/>
      <c r="C37" s="68" t="n"/>
    </row>
    <row r="38" ht="15.75" customHeight="1" s="64">
      <c r="A38" s="69" t="inlineStr">
        <is>
          <t>Thesis (one sentence)</t>
        </is>
      </c>
      <c r="B38" s="84" t="inlineStr">
        <is>
          <t>unsure of direction, near ath, market quieted down last week, potential bigger move on the way, giving it a month</t>
        </is>
      </c>
    </row>
    <row r="39" ht="15.75" customHeight="1" s="64">
      <c r="A39" s="69" t="inlineStr">
        <is>
          <t>Morph rule — go bullish if...</t>
        </is>
      </c>
      <c r="B39" s="84" t="inlineStr">
        <is>
          <t xml:space="preserve">price moves into 740 area </t>
        </is>
      </c>
    </row>
    <row r="40" ht="15.75" customHeight="1" s="64">
      <c r="A40" s="69" t="inlineStr">
        <is>
          <t>Morph rule — go bearish if...</t>
        </is>
      </c>
      <c r="B40" s="84" t="inlineStr">
        <is>
          <t>consolidation happens around mid 780's</t>
        </is>
      </c>
    </row>
    <row r="41" ht="15.75" customHeight="1" s="64">
      <c r="A41" s="69" t="inlineStr">
        <is>
          <t>Exit rule (date / P&amp;L / IV level)</t>
        </is>
      </c>
      <c r="B41" s="84" t="inlineStr">
        <is>
          <t>exit if p&amp;l reaches -2000</t>
        </is>
      </c>
    </row>
    <row r="42" ht="15.75" customHeight="1" s="64">
      <c r="A42" s="69" t="inlineStr">
        <is>
          <t>Fill convention used</t>
        </is>
      </c>
      <c r="B42" s="84" t="inlineStr">
        <is>
          <t>Limit at combo mid + $0.03</t>
        </is>
      </c>
    </row>
    <row r="43" ht="15.75" customHeight="1" s="64"/>
    <row r="44" ht="15.75" customHeight="1" s="64">
      <c r="A44" s="85" t="inlineStr">
        <is>
          <t>Assumptions: strike, expiry, debit ($23.53) and fees ($0.20) taken from the user's order confirmation. Realized vol uses zero-mean RMS of simple close-to-close returns, annualized by SQRT(252). Daily bar uses the entry ATM IV held constant.</t>
        </is>
      </c>
    </row>
    <row r="45" ht="15.75" customHeight="1" s="64"/>
    <row r="46" ht="15.75" customHeight="1" s="64"/>
    <row r="47" ht="15.75" customHeight="1" s="64"/>
    <row r="48" ht="15.75" customHeight="1" s="64"/>
    <row r="49" ht="15.75" customHeight="1" s="64"/>
    <row r="50" ht="15.75" customHeight="1" s="64"/>
    <row r="51" ht="15.75" customHeight="1" s="64"/>
    <row r="52" ht="15.75" customHeight="1" s="64"/>
    <row r="53" ht="15.75" customHeight="1" s="64"/>
    <row r="54" ht="15.75" customHeight="1" s="64"/>
    <row r="55" ht="15.75" customHeight="1" s="64"/>
    <row r="56" ht="15.75" customHeight="1" s="64"/>
    <row r="57" ht="15.75" customHeight="1" s="64"/>
    <row r="58" ht="15.75" customHeight="1" s="64"/>
    <row r="59" ht="15.75" customHeight="1" s="64"/>
    <row r="60" ht="15.75" customHeight="1" s="64"/>
    <row r="61" ht="15.75" customHeight="1" s="64"/>
    <row r="62" ht="15.75" customHeight="1" s="64"/>
    <row r="63" ht="15.75" customHeight="1" s="64"/>
    <row r="64" ht="15.75" customHeight="1" s="64"/>
    <row r="65" ht="15.75" customHeight="1" s="64"/>
    <row r="66" ht="15.75" customHeight="1" s="64"/>
    <row r="67" ht="15.75" customHeight="1" s="64"/>
    <row r="68" ht="15.75" customHeight="1" s="64"/>
    <row r="69" ht="15.75" customHeight="1" s="64"/>
    <row r="70" ht="15.75" customHeight="1" s="64"/>
    <row r="71" ht="15.75" customHeight="1" s="64"/>
    <row r="72" ht="15.75" customHeight="1" s="64"/>
    <row r="73" ht="15.75" customHeight="1" s="64"/>
    <row r="74" ht="15.75" customHeight="1" s="64"/>
    <row r="75" ht="15.75" customHeight="1" s="64"/>
    <row r="76" ht="15.75" customHeight="1" s="64"/>
    <row r="77" ht="15.75" customHeight="1" s="64"/>
    <row r="78" ht="15.75" customHeight="1" s="64"/>
    <row r="79" ht="15.75" customHeight="1" s="64"/>
    <row r="80" ht="15.75" customHeight="1" s="64"/>
    <row r="81" ht="15.75" customHeight="1" s="64"/>
    <row r="82" ht="15.75" customHeight="1" s="64"/>
    <row r="83" ht="15.75" customHeight="1" s="64"/>
    <row r="84" ht="15.75" customHeight="1" s="64"/>
    <row r="85" ht="15.75" customHeight="1" s="64"/>
    <row r="86" ht="15.75" customHeight="1" s="64"/>
    <row r="87" ht="15.75" customHeight="1" s="64"/>
    <row r="88" ht="15.75" customHeight="1" s="64"/>
    <row r="89" ht="15.75" customHeight="1" s="64"/>
    <row r="90" ht="15.75" customHeight="1" s="64"/>
    <row r="91" ht="15.75" customHeight="1" s="64"/>
    <row r="92" ht="15.75" customHeight="1" s="64"/>
    <row r="93" ht="15.75" customHeight="1" s="64"/>
    <row r="94" ht="15.75" customHeight="1" s="64"/>
    <row r="95" ht="15.75" customHeight="1" s="64"/>
    <row r="96" ht="15.75" customHeight="1" s="64"/>
    <row r="97" ht="15.75" customHeight="1" s="64"/>
    <row r="98" ht="15.75" customHeight="1" s="64"/>
    <row r="99" ht="15.75" customHeight="1" s="64"/>
    <row r="100" ht="15.75" customHeight="1" s="64"/>
    <row r="101" ht="15.75" customHeight="1" s="64"/>
    <row r="102" ht="15.75" customHeight="1" s="64"/>
    <row r="103" ht="15.75" customHeight="1" s="64"/>
    <row r="104" ht="15.75" customHeight="1" s="64"/>
    <row r="105" ht="15.75" customHeight="1" s="64"/>
    <row r="106" ht="15.75" customHeight="1" s="64"/>
    <row r="107" ht="15.75" customHeight="1" s="64"/>
    <row r="108" ht="15.75" customHeight="1" s="64"/>
    <row r="109" ht="15.75" customHeight="1" s="64"/>
    <row r="110" ht="15.75" customHeight="1" s="64"/>
    <row r="111" ht="15.75" customHeight="1" s="64"/>
    <row r="112" ht="15.75" customHeight="1" s="64"/>
    <row r="113" ht="15.75" customHeight="1" s="64"/>
    <row r="114" ht="15.75" customHeight="1" s="64"/>
    <row r="115" ht="15.75" customHeight="1" s="64"/>
    <row r="116" ht="15.75" customHeight="1" s="64"/>
    <row r="117" ht="15.75" customHeight="1" s="64"/>
    <row r="118" ht="15.75" customHeight="1" s="64"/>
    <row r="119" ht="15.75" customHeight="1" s="64"/>
    <row r="120" ht="15.75" customHeight="1" s="64"/>
    <row r="121" ht="15.75" customHeight="1" s="64"/>
    <row r="122" ht="15.75" customHeight="1" s="64"/>
    <row r="123" ht="15.75" customHeight="1" s="64"/>
    <row r="124" ht="15.75" customHeight="1" s="64"/>
    <row r="125" ht="15.75" customHeight="1" s="64"/>
    <row r="126" ht="15.75" customHeight="1" s="64"/>
    <row r="127" ht="15.75" customHeight="1" s="64"/>
    <row r="128" ht="15.75" customHeight="1" s="64"/>
    <row r="129" ht="15.75" customHeight="1" s="64"/>
    <row r="130" ht="15.75" customHeight="1" s="64"/>
    <row r="131" ht="15.75" customHeight="1" s="64"/>
    <row r="132" ht="15.75" customHeight="1" s="64"/>
    <row r="133" ht="15.75" customHeight="1" s="64"/>
    <row r="134" ht="15.75" customHeight="1" s="64"/>
    <row r="135" ht="15.75" customHeight="1" s="64"/>
    <row r="136" ht="15.75" customHeight="1" s="64"/>
    <row r="137" ht="15.75" customHeight="1" s="64"/>
    <row r="138" ht="15.75" customHeight="1" s="64"/>
    <row r="139" ht="15.75" customHeight="1" s="64"/>
    <row r="140" ht="15.75" customHeight="1" s="64"/>
    <row r="141" ht="15.75" customHeight="1" s="64"/>
    <row r="142" ht="15.75" customHeight="1" s="64"/>
    <row r="143" ht="15.75" customHeight="1" s="64"/>
    <row r="144" ht="15.75" customHeight="1" s="64"/>
    <row r="145" ht="15.75" customHeight="1" s="64"/>
    <row r="146" ht="15.75" customHeight="1" s="64"/>
    <row r="147" ht="15.75" customHeight="1" s="64"/>
    <row r="148" ht="15.75" customHeight="1" s="64"/>
    <row r="149" ht="15.75" customHeight="1" s="64"/>
    <row r="150" ht="15.75" customHeight="1" s="64"/>
    <row r="151" ht="15.75" customHeight="1" s="64"/>
    <row r="152" ht="15.75" customHeight="1" s="64"/>
    <row r="153" ht="15.75" customHeight="1" s="64"/>
    <row r="154" ht="15.75" customHeight="1" s="64"/>
    <row r="155" ht="15.75" customHeight="1" s="64"/>
    <row r="156" ht="15.75" customHeight="1" s="64"/>
    <row r="157" ht="15.75" customHeight="1" s="64"/>
    <row r="158" ht="15.75" customHeight="1" s="64"/>
    <row r="159" ht="15.75" customHeight="1" s="64"/>
    <row r="160" ht="15.75" customHeight="1" s="64"/>
    <row r="161" ht="15.75" customHeight="1" s="64"/>
    <row r="162" ht="15.75" customHeight="1" s="64"/>
    <row r="163" ht="15.75" customHeight="1" s="64"/>
    <row r="164" ht="15.75" customHeight="1" s="64"/>
    <row r="165" ht="15.75" customHeight="1" s="64"/>
    <row r="166" ht="15.75" customHeight="1" s="64"/>
    <row r="167" ht="15.75" customHeight="1" s="64"/>
    <row r="168" ht="15.75" customHeight="1" s="64"/>
    <row r="169" ht="15.75" customHeight="1" s="64"/>
    <row r="170" ht="15.75" customHeight="1" s="64"/>
    <row r="171" ht="15.75" customHeight="1" s="64"/>
    <row r="172" ht="15.75" customHeight="1" s="64"/>
    <row r="173" ht="15.75" customHeight="1" s="64"/>
    <row r="174" ht="15.75" customHeight="1" s="64"/>
    <row r="175" ht="15.75" customHeight="1" s="64"/>
    <row r="176" ht="15.75" customHeight="1" s="64"/>
    <row r="177" ht="15.75" customHeight="1" s="64"/>
    <row r="178" ht="15.75" customHeight="1" s="64"/>
    <row r="179" ht="15.75" customHeight="1" s="64"/>
    <row r="180" ht="15.75" customHeight="1" s="64"/>
    <row r="181" ht="15.75" customHeight="1" s="64"/>
    <row r="182" ht="15.75" customHeight="1" s="64"/>
    <row r="183" ht="15.75" customHeight="1" s="64"/>
    <row r="184" ht="15.75" customHeight="1" s="64"/>
    <row r="185" ht="15.75" customHeight="1" s="64"/>
    <row r="186" ht="15.75" customHeight="1" s="64"/>
    <row r="187" ht="15.75" customHeight="1" s="64"/>
    <row r="188" ht="15.75" customHeight="1" s="64"/>
    <row r="189" ht="15.75" customHeight="1" s="64"/>
    <row r="190" ht="15.75" customHeight="1" s="64"/>
    <row r="191" ht="15.75" customHeight="1" s="64"/>
    <row r="192" ht="15.75" customHeight="1" s="64"/>
    <row r="193" ht="15.75" customHeight="1" s="64"/>
    <row r="194" ht="15.75" customHeight="1" s="64"/>
    <row r="195" ht="15.75" customHeight="1" s="64"/>
    <row r="196" ht="15.75" customHeight="1" s="64"/>
    <row r="197" ht="15.75" customHeight="1" s="64"/>
    <row r="198" ht="15.75" customHeight="1" s="64"/>
    <row r="199" ht="15.75" customHeight="1" s="64"/>
    <row r="200" ht="15.75" customHeight="1" s="64"/>
    <row r="201" ht="15.75" customHeight="1" s="64"/>
    <row r="202" ht="15.75" customHeight="1" s="64"/>
    <row r="203" ht="15.75" customHeight="1" s="64"/>
    <row r="204" ht="15.75" customHeight="1" s="64"/>
    <row r="205" ht="15.75" customHeight="1" s="64"/>
    <row r="206" ht="15.75" customHeight="1" s="64"/>
    <row r="207" ht="15.75" customHeight="1" s="64"/>
    <row r="208" ht="15.75" customHeight="1" s="64"/>
    <row r="209" ht="15.75" customHeight="1" s="64"/>
    <row r="210" ht="15.75" customHeight="1" s="64"/>
    <row r="211" ht="15.75" customHeight="1" s="64"/>
    <row r="212" ht="15.75" customHeight="1" s="64"/>
    <row r="213" ht="15.75" customHeight="1" s="64"/>
    <row r="214" ht="15.75" customHeight="1" s="64"/>
    <row r="215" ht="15.75" customHeight="1" s="64"/>
    <row r="216" ht="15.75" customHeight="1" s="64"/>
    <row r="217" ht="15.75" customHeight="1" s="64"/>
    <row r="218" ht="15.75" customHeight="1" s="64"/>
    <row r="219" ht="15.75" customHeight="1" s="64"/>
    <row r="220" ht="15.75" customHeight="1" s="64"/>
    <row r="221" ht="15.75" customHeight="1" s="64"/>
    <row r="222" ht="15.75" customHeight="1" s="64"/>
    <row r="223" ht="15.75" customHeight="1" s="64"/>
    <row r="224" ht="15.75" customHeight="1" s="64"/>
    <row r="225" ht="15.75" customHeight="1" s="64"/>
    <row r="226" ht="15.75" customHeight="1" s="64"/>
    <row r="227" ht="15.75" customHeight="1" s="64"/>
    <row r="228" ht="15.75" customHeight="1" s="64"/>
    <row r="229" ht="15.75" customHeight="1" s="64"/>
    <row r="230" ht="15.75" customHeight="1" s="64"/>
    <row r="231" ht="15.75" customHeight="1" s="64"/>
    <row r="232" ht="15.75" customHeight="1" s="64"/>
    <row r="233" ht="15.75" customHeight="1" s="64"/>
    <row r="234" ht="15.75" customHeight="1" s="64"/>
    <row r="235" ht="15.75" customHeight="1" s="64"/>
    <row r="236" ht="15.75" customHeight="1" s="64"/>
    <row r="237" ht="15.75" customHeight="1" s="64"/>
    <row r="238" ht="15.75" customHeight="1" s="64"/>
    <row r="239" ht="15.75" customHeight="1" s="64"/>
    <row r="240" ht="15.75" customHeight="1" s="64"/>
    <row r="241" ht="15.75" customHeight="1" s="64"/>
    <row r="242" ht="15.75" customHeight="1" s="64"/>
    <row r="243" ht="15.75" customHeight="1" s="64"/>
    <row r="244" ht="15.75" customHeight="1" s="64"/>
    <row r="245" ht="15.75" customHeight="1" s="64"/>
    <row r="246" ht="15.75" customHeight="1" s="64"/>
    <row r="247" ht="15.75" customHeight="1" s="64"/>
    <row r="248" ht="15.75" customHeight="1" s="64"/>
    <row r="249" ht="15.75" customHeight="1" s="64"/>
    <row r="250" ht="15.75" customHeight="1" s="64"/>
    <row r="251" ht="15.75" customHeight="1" s="64"/>
    <row r="252" ht="15.75" customHeight="1" s="64"/>
    <row r="253" ht="15.75" customHeight="1" s="64"/>
    <row r="254" ht="15.75" customHeight="1" s="64"/>
    <row r="255" ht="15.75" customHeight="1" s="64"/>
    <row r="256" ht="15.75" customHeight="1" s="64"/>
    <row r="257" ht="15.75" customHeight="1" s="64"/>
    <row r="258" ht="15.75" customHeight="1" s="64"/>
    <row r="259" ht="15.75" customHeight="1" s="64"/>
    <row r="260" ht="15.75" customHeight="1" s="64"/>
    <row r="261" ht="15.75" customHeight="1" s="64"/>
    <row r="262" ht="15.75" customHeight="1" s="64"/>
    <row r="263" ht="15.75" customHeight="1" s="64"/>
    <row r="264" ht="15.75" customHeight="1" s="64"/>
    <row r="265" ht="15.75" customHeight="1" s="64"/>
    <row r="266" ht="15.75" customHeight="1" s="64"/>
    <row r="267" ht="15.75" customHeight="1" s="64"/>
    <row r="268" ht="15.75" customHeight="1" s="64"/>
    <row r="269" ht="15.75" customHeight="1" s="64"/>
    <row r="270" ht="15.75" customHeight="1" s="64"/>
    <row r="271" ht="15.75" customHeight="1" s="64"/>
    <row r="272" ht="15.75" customHeight="1" s="64"/>
    <row r="273" ht="15.75" customHeight="1" s="64"/>
    <row r="274" ht="15.75" customHeight="1" s="64"/>
    <row r="275" ht="15.75" customHeight="1" s="64"/>
    <row r="276" ht="15.75" customHeight="1" s="64"/>
    <row r="277" ht="15.75" customHeight="1" s="64"/>
    <row r="278" ht="15.75" customHeight="1" s="64"/>
    <row r="279" ht="15.75" customHeight="1" s="64"/>
    <row r="280" ht="15.75" customHeight="1" s="64"/>
    <row r="281" ht="15.75" customHeight="1" s="64"/>
    <row r="282" ht="15.75" customHeight="1" s="64"/>
    <row r="283" ht="15.75" customHeight="1" s="64"/>
    <row r="284" ht="15.75" customHeight="1" s="64"/>
    <row r="285" ht="15.75" customHeight="1" s="64"/>
    <row r="286" ht="15.75" customHeight="1" s="64"/>
    <row r="287" ht="15.75" customHeight="1" s="64"/>
    <row r="288" ht="15.75" customHeight="1" s="64"/>
    <row r="289" ht="15.75" customHeight="1" s="64"/>
    <row r="290" ht="15.75" customHeight="1" s="64"/>
    <row r="291" ht="15.75" customHeight="1" s="64"/>
    <row r="292" ht="15.75" customHeight="1" s="64"/>
    <row r="293" ht="15.75" customHeight="1" s="64"/>
    <row r="294" ht="15.75" customHeight="1" s="64"/>
    <row r="295" ht="15.75" customHeight="1" s="64"/>
    <row r="296" ht="15.75" customHeight="1" s="64"/>
    <row r="297" ht="15.75" customHeight="1" s="64"/>
    <row r="298" ht="15.75" customHeight="1" s="64"/>
    <row r="299" ht="15.75" customHeight="1" s="64"/>
    <row r="300" ht="15.75" customHeight="1" s="64"/>
    <row r="301" ht="15.75" customHeight="1" s="64"/>
    <row r="302" ht="15.75" customHeight="1" s="64"/>
    <row r="303" ht="15.75" customHeight="1" s="64"/>
    <row r="304" ht="15.75" customHeight="1" s="64"/>
    <row r="305" ht="15.75" customHeight="1" s="64"/>
    <row r="306" ht="15.75" customHeight="1" s="64"/>
    <row r="307" ht="15.75" customHeight="1" s="64"/>
    <row r="308" ht="15.75" customHeight="1" s="64"/>
    <row r="309" ht="15.75" customHeight="1" s="64"/>
    <row r="310" ht="15.75" customHeight="1" s="64"/>
    <row r="311" ht="15.75" customHeight="1" s="64"/>
    <row r="312" ht="15.75" customHeight="1" s="64"/>
    <row r="313" ht="15.75" customHeight="1" s="64"/>
    <row r="314" ht="15.75" customHeight="1" s="64"/>
    <row r="315" ht="15.75" customHeight="1" s="64"/>
    <row r="316" ht="15.75" customHeight="1" s="64"/>
    <row r="317" ht="15.75" customHeight="1" s="64"/>
    <row r="318" ht="15.75" customHeight="1" s="64"/>
    <row r="319" ht="15.75" customHeight="1" s="64"/>
    <row r="320" ht="15.75" customHeight="1" s="64"/>
    <row r="321" ht="15.75" customHeight="1" s="64"/>
    <row r="322" ht="15.75" customHeight="1" s="64"/>
    <row r="323" ht="15.75" customHeight="1" s="64"/>
    <row r="324" ht="15.75" customHeight="1" s="64"/>
    <row r="325" ht="15.75" customHeight="1" s="64"/>
    <row r="326" ht="15.75" customHeight="1" s="64"/>
    <row r="327" ht="15.75" customHeight="1" s="64"/>
    <row r="328" ht="15.75" customHeight="1" s="64"/>
    <row r="329" ht="15.75" customHeight="1" s="64"/>
    <row r="330" ht="15.75" customHeight="1" s="64"/>
    <row r="331" ht="15.75" customHeight="1" s="64"/>
    <row r="332" ht="15.75" customHeight="1" s="64"/>
    <row r="333" ht="15.75" customHeight="1" s="64"/>
    <row r="334" ht="15.75" customHeight="1" s="64"/>
    <row r="335" ht="15.75" customHeight="1" s="64"/>
    <row r="336" ht="15.75" customHeight="1" s="64"/>
    <row r="337" ht="15.75" customHeight="1" s="64"/>
    <row r="338" ht="15.75" customHeight="1" s="64"/>
    <row r="339" ht="15.75" customHeight="1" s="64"/>
    <row r="340" ht="15.75" customHeight="1" s="64"/>
    <row r="341" ht="15.75" customHeight="1" s="64"/>
    <row r="342" ht="15.75" customHeight="1" s="64"/>
    <row r="343" ht="15.75" customHeight="1" s="64"/>
    <row r="344" ht="15.75" customHeight="1" s="64"/>
    <row r="345" ht="15.75" customHeight="1" s="64"/>
    <row r="346" ht="15.75" customHeight="1" s="64"/>
    <row r="347" ht="15.75" customHeight="1" s="64"/>
    <row r="348" ht="15.75" customHeight="1" s="64"/>
    <row r="349" ht="15.75" customHeight="1" s="64"/>
    <row r="350" ht="15.75" customHeight="1" s="64"/>
    <row r="351" ht="15.75" customHeight="1" s="64"/>
    <row r="352" ht="15.75" customHeight="1" s="64"/>
    <row r="353" ht="15.75" customHeight="1" s="64"/>
    <row r="354" ht="15.75" customHeight="1" s="64"/>
    <row r="355" ht="15.75" customHeight="1" s="64"/>
    <row r="356" ht="15.75" customHeight="1" s="64"/>
    <row r="357" ht="15.75" customHeight="1" s="64"/>
    <row r="358" ht="15.75" customHeight="1" s="64"/>
    <row r="359" ht="15.75" customHeight="1" s="64"/>
    <row r="360" ht="15.75" customHeight="1" s="64"/>
    <row r="361" ht="15.75" customHeight="1" s="64"/>
    <row r="362" ht="15.75" customHeight="1" s="64"/>
    <row r="363" ht="15.75" customHeight="1" s="64"/>
    <row r="364" ht="15.75" customHeight="1" s="64"/>
    <row r="365" ht="15.75" customHeight="1" s="64"/>
    <row r="366" ht="15.75" customHeight="1" s="64"/>
    <row r="367" ht="15.75" customHeight="1" s="64"/>
    <row r="368" ht="15.75" customHeight="1" s="64"/>
    <row r="369" ht="15.75" customHeight="1" s="64"/>
    <row r="370" ht="15.75" customHeight="1" s="64"/>
    <row r="371" ht="15.75" customHeight="1" s="64"/>
    <row r="372" ht="15.75" customHeight="1" s="64"/>
    <row r="373" ht="15.75" customHeight="1" s="64"/>
    <row r="374" ht="15.75" customHeight="1" s="64"/>
    <row r="375" ht="15.75" customHeight="1" s="64"/>
    <row r="376" ht="15.75" customHeight="1" s="64"/>
    <row r="377" ht="15.75" customHeight="1" s="64"/>
    <row r="378" ht="15.75" customHeight="1" s="64"/>
    <row r="379" ht="15.75" customHeight="1" s="64"/>
    <row r="380" ht="15.75" customHeight="1" s="64"/>
    <row r="381" ht="15.75" customHeight="1" s="64"/>
    <row r="382" ht="15.75" customHeight="1" s="64"/>
    <row r="383" ht="15.75" customHeight="1" s="64"/>
    <row r="384" ht="15.75" customHeight="1" s="64"/>
    <row r="385" ht="15.75" customHeight="1" s="64"/>
    <row r="386" ht="15.75" customHeight="1" s="64"/>
    <row r="387" ht="15.75" customHeight="1" s="64"/>
    <row r="388" ht="15.75" customHeight="1" s="64"/>
    <row r="389" ht="15.75" customHeight="1" s="64"/>
    <row r="390" ht="15.75" customHeight="1" s="64"/>
    <row r="391" ht="15.75" customHeight="1" s="64"/>
    <row r="392" ht="15.75" customHeight="1" s="64"/>
    <row r="393" ht="15.75" customHeight="1" s="64"/>
    <row r="394" ht="15.75" customHeight="1" s="64"/>
    <row r="395" ht="15.75" customHeight="1" s="64"/>
    <row r="396" ht="15.75" customHeight="1" s="64"/>
    <row r="397" ht="15.75" customHeight="1" s="64"/>
    <row r="398" ht="15.75" customHeight="1" s="64"/>
    <row r="399" ht="15.75" customHeight="1" s="64"/>
    <row r="400" ht="15.75" customHeight="1" s="64"/>
    <row r="401" ht="15.75" customHeight="1" s="64"/>
    <row r="402" ht="15.75" customHeight="1" s="64"/>
    <row r="403" ht="15.75" customHeight="1" s="64"/>
    <row r="404" ht="15.75" customHeight="1" s="64"/>
    <row r="405" ht="15.75" customHeight="1" s="64"/>
    <row r="406" ht="15.75" customHeight="1" s="64"/>
    <row r="407" ht="15.75" customHeight="1" s="64"/>
    <row r="408" ht="15.75" customHeight="1" s="64"/>
    <row r="409" ht="15.75" customHeight="1" s="64"/>
    <row r="410" ht="15.75" customHeight="1" s="64"/>
    <row r="411" ht="15.75" customHeight="1" s="64"/>
    <row r="412" ht="15.75" customHeight="1" s="64"/>
    <row r="413" ht="15.75" customHeight="1" s="64"/>
    <row r="414" ht="15.75" customHeight="1" s="64"/>
    <row r="415" ht="15.75" customHeight="1" s="64"/>
    <row r="416" ht="15.75" customHeight="1" s="64"/>
    <row r="417" ht="15.75" customHeight="1" s="64"/>
    <row r="418" ht="15.75" customHeight="1" s="64"/>
    <row r="419" ht="15.75" customHeight="1" s="64"/>
    <row r="420" ht="15.75" customHeight="1" s="64"/>
    <row r="421" ht="15.75" customHeight="1" s="64"/>
    <row r="422" ht="15.75" customHeight="1" s="64"/>
    <row r="423" ht="15.75" customHeight="1" s="64"/>
    <row r="424" ht="15.75" customHeight="1" s="64"/>
    <row r="425" ht="15.75" customHeight="1" s="64"/>
    <row r="426" ht="15.75" customHeight="1" s="64"/>
    <row r="427" ht="15.75" customHeight="1" s="64"/>
    <row r="428" ht="15.75" customHeight="1" s="64"/>
    <row r="429" ht="15.75" customHeight="1" s="64"/>
    <row r="430" ht="15.75" customHeight="1" s="64"/>
    <row r="431" ht="15.75" customHeight="1" s="64"/>
    <row r="432" ht="15.75" customHeight="1" s="64"/>
    <row r="433" ht="15.75" customHeight="1" s="64"/>
    <row r="434" ht="15.75" customHeight="1" s="64"/>
    <row r="435" ht="15.75" customHeight="1" s="64"/>
    <row r="436" ht="15.75" customHeight="1" s="64"/>
    <row r="437" ht="15.75" customHeight="1" s="64"/>
    <row r="438" ht="15.75" customHeight="1" s="64"/>
    <row r="439" ht="15.75" customHeight="1" s="64"/>
    <row r="440" ht="15.75" customHeight="1" s="64"/>
    <row r="441" ht="15.75" customHeight="1" s="64"/>
    <row r="442" ht="15.75" customHeight="1" s="64"/>
    <row r="443" ht="15.75" customHeight="1" s="64"/>
    <row r="444" ht="15.75" customHeight="1" s="64"/>
    <row r="445" ht="15.75" customHeight="1" s="64"/>
    <row r="446" ht="15.75" customHeight="1" s="64"/>
    <row r="447" ht="15.75" customHeight="1" s="64"/>
    <row r="448" ht="15.75" customHeight="1" s="64"/>
    <row r="449" ht="15.75" customHeight="1" s="64"/>
    <row r="450" ht="15.75" customHeight="1" s="64"/>
    <row r="451" ht="15.75" customHeight="1" s="64"/>
    <row r="452" ht="15.75" customHeight="1" s="64"/>
    <row r="453" ht="15.75" customHeight="1" s="64"/>
    <row r="454" ht="15.75" customHeight="1" s="64"/>
    <row r="455" ht="15.75" customHeight="1" s="64"/>
    <row r="456" ht="15.75" customHeight="1" s="64"/>
    <row r="457" ht="15.75" customHeight="1" s="64"/>
    <row r="458" ht="15.75" customHeight="1" s="64"/>
    <row r="459" ht="15.75" customHeight="1" s="64"/>
    <row r="460" ht="15.75" customHeight="1" s="64"/>
    <row r="461" ht="15.75" customHeight="1" s="64"/>
    <row r="462" ht="15.75" customHeight="1" s="64"/>
    <row r="463" ht="15.75" customHeight="1" s="64"/>
    <row r="464" ht="15.75" customHeight="1" s="64"/>
    <row r="465" ht="15.75" customHeight="1" s="64"/>
    <row r="466" ht="15.75" customHeight="1" s="64"/>
    <row r="467" ht="15.75" customHeight="1" s="64"/>
    <row r="468" ht="15.75" customHeight="1" s="64"/>
    <row r="469" ht="15.75" customHeight="1" s="64"/>
    <row r="470" ht="15.75" customHeight="1" s="64"/>
    <row r="471" ht="15.75" customHeight="1" s="64"/>
    <row r="472" ht="15.75" customHeight="1" s="64"/>
    <row r="473" ht="15.75" customHeight="1" s="64"/>
    <row r="474" ht="15.75" customHeight="1" s="64"/>
    <row r="475" ht="15.75" customHeight="1" s="64"/>
    <row r="476" ht="15.75" customHeight="1" s="64"/>
    <row r="477" ht="15.75" customHeight="1" s="64"/>
    <row r="478" ht="15.75" customHeight="1" s="64"/>
    <row r="479" ht="15.75" customHeight="1" s="64"/>
    <row r="480" ht="15.75" customHeight="1" s="64"/>
    <row r="481" ht="15.75" customHeight="1" s="64"/>
    <row r="482" ht="15.75" customHeight="1" s="64"/>
    <row r="483" ht="15.75" customHeight="1" s="64"/>
    <row r="484" ht="15.75" customHeight="1" s="64"/>
    <row r="485" ht="15.75" customHeight="1" s="64"/>
    <row r="486" ht="15.75" customHeight="1" s="64"/>
    <row r="487" ht="15.75" customHeight="1" s="64"/>
    <row r="488" ht="15.75" customHeight="1" s="64"/>
    <row r="489" ht="15.75" customHeight="1" s="64"/>
    <row r="490" ht="15.75" customHeight="1" s="64"/>
    <row r="491" ht="15.75" customHeight="1" s="64"/>
    <row r="492" ht="15.75" customHeight="1" s="64"/>
    <row r="493" ht="15.75" customHeight="1" s="64"/>
    <row r="494" ht="15.75" customHeight="1" s="64"/>
    <row r="495" ht="15.75" customHeight="1" s="64"/>
    <row r="496" ht="15.75" customHeight="1" s="64"/>
    <row r="497" ht="15.75" customHeight="1" s="64"/>
    <row r="498" ht="15.75" customHeight="1" s="64"/>
    <row r="499" ht="15.75" customHeight="1" s="64"/>
    <row r="500" ht="15.75" customHeight="1" s="64"/>
    <row r="501" ht="15.75" customHeight="1" s="64"/>
    <row r="502" ht="15.75" customHeight="1" s="64"/>
    <row r="503" ht="15.75" customHeight="1" s="64"/>
    <row r="504" ht="15.75" customHeight="1" s="64"/>
    <row r="505" ht="15.75" customHeight="1" s="64"/>
    <row r="506" ht="15.75" customHeight="1" s="64"/>
    <row r="507" ht="15.75" customHeight="1" s="64"/>
    <row r="508" ht="15.75" customHeight="1" s="64"/>
    <row r="509" ht="15.75" customHeight="1" s="64"/>
    <row r="510" ht="15.75" customHeight="1" s="64"/>
    <row r="511" ht="15.75" customHeight="1" s="64"/>
    <row r="512" ht="15.75" customHeight="1" s="64"/>
    <row r="513" ht="15.75" customHeight="1" s="64"/>
    <row r="514" ht="15.75" customHeight="1" s="64"/>
    <row r="515" ht="15.75" customHeight="1" s="64"/>
    <row r="516" ht="15.75" customHeight="1" s="64"/>
    <row r="517" ht="15.75" customHeight="1" s="64"/>
    <row r="518" ht="15.75" customHeight="1" s="64"/>
    <row r="519" ht="15.75" customHeight="1" s="64"/>
    <row r="520" ht="15.75" customHeight="1" s="64"/>
    <row r="521" ht="15.75" customHeight="1" s="64"/>
    <row r="522" ht="15.75" customHeight="1" s="64"/>
    <row r="523" ht="15.75" customHeight="1" s="64"/>
    <row r="524" ht="15.75" customHeight="1" s="64"/>
    <row r="525" ht="15.75" customHeight="1" s="64"/>
    <row r="526" ht="15.75" customHeight="1" s="64"/>
    <row r="527" ht="15.75" customHeight="1" s="64"/>
    <row r="528" ht="15.75" customHeight="1" s="64"/>
    <row r="529" ht="15.75" customHeight="1" s="64"/>
    <row r="530" ht="15.75" customHeight="1" s="64"/>
    <row r="531" ht="15.75" customHeight="1" s="64"/>
    <row r="532" ht="15.75" customHeight="1" s="64"/>
    <row r="533" ht="15.75" customHeight="1" s="64"/>
    <row r="534" ht="15.75" customHeight="1" s="64"/>
    <row r="535" ht="15.75" customHeight="1" s="64"/>
    <row r="536" ht="15.75" customHeight="1" s="64"/>
    <row r="537" ht="15.75" customHeight="1" s="64"/>
    <row r="538" ht="15.75" customHeight="1" s="64"/>
    <row r="539" ht="15.75" customHeight="1" s="64"/>
    <row r="540" ht="15.75" customHeight="1" s="64"/>
    <row r="541" ht="15.75" customHeight="1" s="64"/>
    <row r="542" ht="15.75" customHeight="1" s="64"/>
    <row r="543" ht="15.75" customHeight="1" s="64"/>
    <row r="544" ht="15.75" customHeight="1" s="64"/>
    <row r="545" ht="15.75" customHeight="1" s="64"/>
    <row r="546" ht="15.75" customHeight="1" s="64"/>
    <row r="547" ht="15.75" customHeight="1" s="64"/>
    <row r="548" ht="15.75" customHeight="1" s="64"/>
    <row r="549" ht="15.75" customHeight="1" s="64"/>
    <row r="550" ht="15.75" customHeight="1" s="64"/>
    <row r="551" ht="15.75" customHeight="1" s="64"/>
    <row r="552" ht="15.75" customHeight="1" s="64"/>
    <row r="553" ht="15.75" customHeight="1" s="64"/>
    <row r="554" ht="15.75" customHeight="1" s="64"/>
    <row r="555" ht="15.75" customHeight="1" s="64"/>
    <row r="556" ht="15.75" customHeight="1" s="64"/>
    <row r="557" ht="15.75" customHeight="1" s="64"/>
    <row r="558" ht="15.75" customHeight="1" s="64"/>
    <row r="559" ht="15.75" customHeight="1" s="64"/>
    <row r="560" ht="15.75" customHeight="1" s="64"/>
    <row r="561" ht="15.75" customHeight="1" s="64"/>
    <row r="562" ht="15.75" customHeight="1" s="64"/>
    <row r="563" ht="15.75" customHeight="1" s="64"/>
    <row r="564" ht="15.75" customHeight="1" s="64"/>
    <row r="565" ht="15.75" customHeight="1" s="64"/>
    <row r="566" ht="15.75" customHeight="1" s="64"/>
    <row r="567" ht="15.75" customHeight="1" s="64"/>
    <row r="568" ht="15.75" customHeight="1" s="64"/>
    <row r="569" ht="15.75" customHeight="1" s="64"/>
    <row r="570" ht="15.75" customHeight="1" s="64"/>
    <row r="571" ht="15.75" customHeight="1" s="64"/>
    <row r="572" ht="15.75" customHeight="1" s="64"/>
    <row r="573" ht="15.75" customHeight="1" s="64"/>
    <row r="574" ht="15.75" customHeight="1" s="64"/>
    <row r="575" ht="15.75" customHeight="1" s="64"/>
    <row r="576" ht="15.75" customHeight="1" s="64"/>
    <row r="577" ht="15.75" customHeight="1" s="64"/>
    <row r="578" ht="15.75" customHeight="1" s="64"/>
    <row r="579" ht="15.75" customHeight="1" s="64"/>
    <row r="580" ht="15.75" customHeight="1" s="64"/>
    <row r="581" ht="15.75" customHeight="1" s="64"/>
    <row r="582" ht="15.75" customHeight="1" s="64"/>
    <row r="583" ht="15.75" customHeight="1" s="64"/>
    <row r="584" ht="15.75" customHeight="1" s="64"/>
    <row r="585" ht="15.75" customHeight="1" s="64"/>
    <row r="586" ht="15.75" customHeight="1" s="64"/>
    <row r="587" ht="15.75" customHeight="1" s="64"/>
    <row r="588" ht="15.75" customHeight="1" s="64"/>
    <row r="589" ht="15.75" customHeight="1" s="64"/>
    <row r="590" ht="15.75" customHeight="1" s="64"/>
    <row r="591" ht="15.75" customHeight="1" s="64"/>
    <row r="592" ht="15.75" customHeight="1" s="64"/>
    <row r="593" ht="15.75" customHeight="1" s="64"/>
    <row r="594" ht="15.75" customHeight="1" s="64"/>
    <row r="595" ht="15.75" customHeight="1" s="64"/>
    <row r="596" ht="15.75" customHeight="1" s="64"/>
    <row r="597" ht="15.75" customHeight="1" s="64"/>
    <row r="598" ht="15.75" customHeight="1" s="64"/>
    <row r="599" ht="15.75" customHeight="1" s="64"/>
    <row r="600" ht="15.75" customHeight="1" s="64"/>
    <row r="601" ht="15.75" customHeight="1" s="64"/>
    <row r="602" ht="15.75" customHeight="1" s="64"/>
    <row r="603" ht="15.75" customHeight="1" s="64"/>
    <row r="604" ht="15.75" customHeight="1" s="64"/>
    <row r="605" ht="15.75" customHeight="1" s="64"/>
    <row r="606" ht="15.75" customHeight="1" s="64"/>
    <row r="607" ht="15.75" customHeight="1" s="64"/>
    <row r="608" ht="15.75" customHeight="1" s="64"/>
    <row r="609" ht="15.75" customHeight="1" s="64"/>
    <row r="610" ht="15.75" customHeight="1" s="64"/>
    <row r="611" ht="15.75" customHeight="1" s="64"/>
    <row r="612" ht="15.75" customHeight="1" s="64"/>
    <row r="613" ht="15.75" customHeight="1" s="64"/>
    <row r="614" ht="15.75" customHeight="1" s="64"/>
    <row r="615" ht="15.75" customHeight="1" s="64"/>
    <row r="616" ht="15.75" customHeight="1" s="64"/>
    <row r="617" ht="15.75" customHeight="1" s="64"/>
    <row r="618" ht="15.75" customHeight="1" s="64"/>
    <row r="619" ht="15.75" customHeight="1" s="64"/>
    <row r="620" ht="15.75" customHeight="1" s="64"/>
    <row r="621" ht="15.75" customHeight="1" s="64"/>
    <row r="622" ht="15.75" customHeight="1" s="64"/>
    <row r="623" ht="15.75" customHeight="1" s="64"/>
    <row r="624" ht="15.75" customHeight="1" s="64"/>
    <row r="625" ht="15.75" customHeight="1" s="64"/>
    <row r="626" ht="15.75" customHeight="1" s="64"/>
    <row r="627" ht="15.75" customHeight="1" s="64"/>
    <row r="628" ht="15.75" customHeight="1" s="64"/>
    <row r="629" ht="15.75" customHeight="1" s="64"/>
    <row r="630" ht="15.75" customHeight="1" s="64"/>
    <row r="631" ht="15.75" customHeight="1" s="64"/>
    <row r="632" ht="15.75" customHeight="1" s="64"/>
    <row r="633" ht="15.75" customHeight="1" s="64"/>
    <row r="634" ht="15.75" customHeight="1" s="64"/>
    <row r="635" ht="15.75" customHeight="1" s="64"/>
    <row r="636" ht="15.75" customHeight="1" s="64"/>
    <row r="637" ht="15.75" customHeight="1" s="64"/>
    <row r="638" ht="15.75" customHeight="1" s="64"/>
    <row r="639" ht="15.75" customHeight="1" s="64"/>
    <row r="640" ht="15.75" customHeight="1" s="64"/>
    <row r="641" ht="15.75" customHeight="1" s="64"/>
    <row r="642" ht="15.75" customHeight="1" s="64"/>
    <row r="643" ht="15.75" customHeight="1" s="64"/>
    <row r="644" ht="15.75" customHeight="1" s="64"/>
    <row r="645" ht="15.75" customHeight="1" s="64"/>
    <row r="646" ht="15.75" customHeight="1" s="64"/>
    <row r="647" ht="15.75" customHeight="1" s="64"/>
    <row r="648" ht="15.75" customHeight="1" s="64"/>
    <row r="649" ht="15.75" customHeight="1" s="64"/>
    <row r="650" ht="15.75" customHeight="1" s="64"/>
    <row r="651" ht="15.75" customHeight="1" s="64"/>
    <row r="652" ht="15.75" customHeight="1" s="64"/>
    <row r="653" ht="15.75" customHeight="1" s="64"/>
    <row r="654" ht="15.75" customHeight="1" s="64"/>
    <row r="655" ht="15.75" customHeight="1" s="64"/>
    <row r="656" ht="15.75" customHeight="1" s="64"/>
    <row r="657" ht="15.75" customHeight="1" s="64"/>
    <row r="658" ht="15.75" customHeight="1" s="64"/>
    <row r="659" ht="15.75" customHeight="1" s="64"/>
    <row r="660" ht="15.75" customHeight="1" s="64"/>
    <row r="661" ht="15.75" customHeight="1" s="64"/>
    <row r="662" ht="15.75" customHeight="1" s="64"/>
    <row r="663" ht="15.75" customHeight="1" s="64"/>
    <row r="664" ht="15.75" customHeight="1" s="64"/>
    <row r="665" ht="15.75" customHeight="1" s="64"/>
    <row r="666" ht="15.75" customHeight="1" s="64"/>
    <row r="667" ht="15.75" customHeight="1" s="64"/>
    <row r="668" ht="15.75" customHeight="1" s="64"/>
    <row r="669" ht="15.75" customHeight="1" s="64"/>
    <row r="670" ht="15.75" customHeight="1" s="64"/>
    <row r="671" ht="15.75" customHeight="1" s="64"/>
    <row r="672" ht="15.75" customHeight="1" s="64"/>
    <row r="673" ht="15.75" customHeight="1" s="64"/>
    <row r="674" ht="15.75" customHeight="1" s="64"/>
    <row r="675" ht="15.75" customHeight="1" s="64"/>
    <row r="676" ht="15.75" customHeight="1" s="64"/>
    <row r="677" ht="15.75" customHeight="1" s="64"/>
    <row r="678" ht="15.75" customHeight="1" s="64"/>
    <row r="679" ht="15.75" customHeight="1" s="64"/>
    <row r="680" ht="15.75" customHeight="1" s="64"/>
    <row r="681" ht="15.75" customHeight="1" s="64"/>
    <row r="682" ht="15.75" customHeight="1" s="64"/>
    <row r="683" ht="15.75" customHeight="1" s="64"/>
    <row r="684" ht="15.75" customHeight="1" s="64"/>
    <row r="685" ht="15.75" customHeight="1" s="64"/>
    <row r="686" ht="15.75" customHeight="1" s="64"/>
    <row r="687" ht="15.75" customHeight="1" s="64"/>
    <row r="688" ht="15.75" customHeight="1" s="64"/>
    <row r="689" ht="15.75" customHeight="1" s="64"/>
    <row r="690" ht="15.75" customHeight="1" s="64"/>
    <row r="691" ht="15.75" customHeight="1" s="64"/>
    <row r="692" ht="15.75" customHeight="1" s="64"/>
    <row r="693" ht="15.75" customHeight="1" s="64"/>
    <row r="694" ht="15.75" customHeight="1" s="64"/>
    <row r="695" ht="15.75" customHeight="1" s="64"/>
    <row r="696" ht="15.75" customHeight="1" s="64"/>
    <row r="697" ht="15.75" customHeight="1" s="64"/>
    <row r="698" ht="15.75" customHeight="1" s="64"/>
    <row r="699" ht="15.75" customHeight="1" s="64"/>
    <row r="700" ht="15.75" customHeight="1" s="64"/>
    <row r="701" ht="15.75" customHeight="1" s="64"/>
    <row r="702" ht="15.75" customHeight="1" s="64"/>
    <row r="703" ht="15.75" customHeight="1" s="64"/>
    <row r="704" ht="15.75" customHeight="1" s="64"/>
    <row r="705" ht="15.75" customHeight="1" s="64"/>
    <row r="706" ht="15.75" customHeight="1" s="64"/>
    <row r="707" ht="15.75" customHeight="1" s="64"/>
    <row r="708" ht="15.75" customHeight="1" s="64"/>
    <row r="709" ht="15.75" customHeight="1" s="64"/>
    <row r="710" ht="15.75" customHeight="1" s="64"/>
    <row r="711" ht="15.75" customHeight="1" s="64"/>
    <row r="712" ht="15.75" customHeight="1" s="64"/>
    <row r="713" ht="15.75" customHeight="1" s="64"/>
    <row r="714" ht="15.75" customHeight="1" s="64"/>
    <row r="715" ht="15.75" customHeight="1" s="64"/>
    <row r="716" ht="15.75" customHeight="1" s="64"/>
    <row r="717" ht="15.75" customHeight="1" s="64"/>
    <row r="718" ht="15.75" customHeight="1" s="64"/>
    <row r="719" ht="15.75" customHeight="1" s="64"/>
    <row r="720" ht="15.75" customHeight="1" s="64"/>
    <row r="721" ht="15.75" customHeight="1" s="64"/>
    <row r="722" ht="15.75" customHeight="1" s="64"/>
    <row r="723" ht="15.75" customHeight="1" s="64"/>
    <row r="724" ht="15.75" customHeight="1" s="64"/>
    <row r="725" ht="15.75" customHeight="1" s="64"/>
    <row r="726" ht="15.75" customHeight="1" s="64"/>
    <row r="727" ht="15.75" customHeight="1" s="64"/>
    <row r="728" ht="15.75" customHeight="1" s="64"/>
    <row r="729" ht="15.75" customHeight="1" s="64"/>
    <row r="730" ht="15.75" customHeight="1" s="64"/>
    <row r="731" ht="15.75" customHeight="1" s="64"/>
    <row r="732" ht="15.75" customHeight="1" s="64"/>
    <row r="733" ht="15.75" customHeight="1" s="64"/>
    <row r="734" ht="15.75" customHeight="1" s="64"/>
    <row r="735" ht="15.75" customHeight="1" s="64"/>
    <row r="736" ht="15.75" customHeight="1" s="64"/>
    <row r="737" ht="15.75" customHeight="1" s="64"/>
    <row r="738" ht="15.75" customHeight="1" s="64"/>
    <row r="739" ht="15.75" customHeight="1" s="64"/>
    <row r="740" ht="15.75" customHeight="1" s="64"/>
    <row r="741" ht="15.75" customHeight="1" s="64"/>
    <row r="742" ht="15.75" customHeight="1" s="64"/>
    <row r="743" ht="15.75" customHeight="1" s="64"/>
    <row r="744" ht="15.75" customHeight="1" s="64"/>
    <row r="745" ht="15.75" customHeight="1" s="64"/>
    <row r="746" ht="15.75" customHeight="1" s="64"/>
    <row r="747" ht="15.75" customHeight="1" s="64"/>
    <row r="748" ht="15.75" customHeight="1" s="64"/>
    <row r="749" ht="15.75" customHeight="1" s="64"/>
    <row r="750" ht="15.75" customHeight="1" s="64"/>
    <row r="751" ht="15.75" customHeight="1" s="64"/>
    <row r="752" ht="15.75" customHeight="1" s="64"/>
    <row r="753" ht="15.75" customHeight="1" s="64"/>
    <row r="754" ht="15.75" customHeight="1" s="64"/>
    <row r="755" ht="15.75" customHeight="1" s="64"/>
    <row r="756" ht="15.75" customHeight="1" s="64"/>
    <row r="757" ht="15.75" customHeight="1" s="64"/>
    <row r="758" ht="15.75" customHeight="1" s="64"/>
    <row r="759" ht="15.75" customHeight="1" s="64"/>
    <row r="760" ht="15.75" customHeight="1" s="64"/>
    <row r="761" ht="15.75" customHeight="1" s="64"/>
    <row r="762" ht="15.75" customHeight="1" s="64"/>
    <row r="763" ht="15.75" customHeight="1" s="64"/>
    <row r="764" ht="15.75" customHeight="1" s="64"/>
    <row r="765" ht="15.75" customHeight="1" s="64"/>
    <row r="766" ht="15.75" customHeight="1" s="64"/>
    <row r="767" ht="15.75" customHeight="1" s="64"/>
    <row r="768" ht="15.75" customHeight="1" s="64"/>
    <row r="769" ht="15.75" customHeight="1" s="64"/>
    <row r="770" ht="15.75" customHeight="1" s="64"/>
    <row r="771" ht="15.75" customHeight="1" s="64"/>
    <row r="772" ht="15.75" customHeight="1" s="64"/>
    <row r="773" ht="15.75" customHeight="1" s="64"/>
    <row r="774" ht="15.75" customHeight="1" s="64"/>
    <row r="775" ht="15.75" customHeight="1" s="64"/>
    <row r="776" ht="15.75" customHeight="1" s="64"/>
    <row r="777" ht="15.75" customHeight="1" s="64"/>
    <row r="778" ht="15.75" customHeight="1" s="64"/>
    <row r="779" ht="15.75" customHeight="1" s="64"/>
    <row r="780" ht="15.75" customHeight="1" s="64"/>
    <row r="781" ht="15.75" customHeight="1" s="64"/>
    <row r="782" ht="15.75" customHeight="1" s="64"/>
    <row r="783" ht="15.75" customHeight="1" s="64"/>
    <row r="784" ht="15.75" customHeight="1" s="64"/>
    <row r="785" ht="15.75" customHeight="1" s="64"/>
    <row r="786" ht="15.75" customHeight="1" s="64"/>
    <row r="787" ht="15.75" customHeight="1" s="64"/>
    <row r="788" ht="15.75" customHeight="1" s="64"/>
    <row r="789" ht="15.75" customHeight="1" s="64"/>
    <row r="790" ht="15.75" customHeight="1" s="64"/>
    <row r="791" ht="15.75" customHeight="1" s="64"/>
    <row r="792" ht="15.75" customHeight="1" s="64"/>
    <row r="793" ht="15.75" customHeight="1" s="64"/>
    <row r="794" ht="15.75" customHeight="1" s="64"/>
    <row r="795" ht="15.75" customHeight="1" s="64"/>
    <row r="796" ht="15.75" customHeight="1" s="64"/>
    <row r="797" ht="15.75" customHeight="1" s="64"/>
    <row r="798" ht="15.75" customHeight="1" s="64"/>
    <row r="799" ht="15.75" customHeight="1" s="64"/>
    <row r="800" ht="15.75" customHeight="1" s="64"/>
    <row r="801" ht="15.75" customHeight="1" s="64"/>
    <row r="802" ht="15.75" customHeight="1" s="64"/>
    <row r="803" ht="15.75" customHeight="1" s="64"/>
    <row r="804" ht="15.75" customHeight="1" s="64"/>
    <row r="805" ht="15.75" customHeight="1" s="64"/>
    <row r="806" ht="15.75" customHeight="1" s="64"/>
    <row r="807" ht="15.75" customHeight="1" s="64"/>
    <row r="808" ht="15.75" customHeight="1" s="64"/>
    <row r="809" ht="15.75" customHeight="1" s="64"/>
    <row r="810" ht="15.75" customHeight="1" s="64"/>
    <row r="811" ht="15.75" customHeight="1" s="64"/>
    <row r="812" ht="15.75" customHeight="1" s="64"/>
    <row r="813" ht="15.75" customHeight="1" s="64"/>
    <row r="814" ht="15.75" customHeight="1" s="64"/>
    <row r="815" ht="15.75" customHeight="1" s="64"/>
    <row r="816" ht="15.75" customHeight="1" s="64"/>
    <row r="817" ht="15.75" customHeight="1" s="64"/>
    <row r="818" ht="15.75" customHeight="1" s="64"/>
    <row r="819" ht="15.75" customHeight="1" s="64"/>
    <row r="820" ht="15.75" customHeight="1" s="64"/>
    <row r="821" ht="15.75" customHeight="1" s="64"/>
    <row r="822" ht="15.75" customHeight="1" s="64"/>
    <row r="823" ht="15.75" customHeight="1" s="64"/>
    <row r="824" ht="15.75" customHeight="1" s="64"/>
    <row r="825" ht="15.75" customHeight="1" s="64"/>
    <row r="826" ht="15.75" customHeight="1" s="64"/>
    <row r="827" ht="15.75" customHeight="1" s="64"/>
    <row r="828" ht="15.75" customHeight="1" s="64"/>
    <row r="829" ht="15.75" customHeight="1" s="64"/>
    <row r="830" ht="15.75" customHeight="1" s="64"/>
    <row r="831" ht="15.75" customHeight="1" s="64"/>
    <row r="832" ht="15.75" customHeight="1" s="64"/>
    <row r="833" ht="15.75" customHeight="1" s="64"/>
    <row r="834" ht="15.75" customHeight="1" s="64"/>
    <row r="835" ht="15.75" customHeight="1" s="64"/>
    <row r="836" ht="15.75" customHeight="1" s="64"/>
    <row r="837" ht="15.75" customHeight="1" s="64"/>
    <row r="838" ht="15.75" customHeight="1" s="64"/>
    <row r="839" ht="15.75" customHeight="1" s="64"/>
    <row r="840" ht="15.75" customHeight="1" s="64"/>
    <row r="841" ht="15.75" customHeight="1" s="64"/>
    <row r="842" ht="15.75" customHeight="1" s="64"/>
    <row r="843" ht="15.75" customHeight="1" s="64"/>
    <row r="844" ht="15.75" customHeight="1" s="64"/>
    <row r="845" ht="15.75" customHeight="1" s="64"/>
    <row r="846" ht="15.75" customHeight="1" s="64"/>
    <row r="847" ht="15.75" customHeight="1" s="64"/>
    <row r="848" ht="15.75" customHeight="1" s="64"/>
    <row r="849" ht="15.75" customHeight="1" s="64"/>
    <row r="850" ht="15.75" customHeight="1" s="64"/>
    <row r="851" ht="15.75" customHeight="1" s="64"/>
    <row r="852" ht="15.75" customHeight="1" s="64"/>
    <row r="853" ht="15.75" customHeight="1" s="64"/>
    <row r="854" ht="15.75" customHeight="1" s="64"/>
    <row r="855" ht="15.75" customHeight="1" s="64"/>
    <row r="856" ht="15.75" customHeight="1" s="64"/>
    <row r="857" ht="15.75" customHeight="1" s="64"/>
    <row r="858" ht="15.75" customHeight="1" s="64"/>
    <row r="859" ht="15.75" customHeight="1" s="64"/>
    <row r="860" ht="15.75" customHeight="1" s="64"/>
    <row r="861" ht="15.75" customHeight="1" s="64"/>
    <row r="862" ht="15.75" customHeight="1" s="64"/>
    <row r="863" ht="15.75" customHeight="1" s="64"/>
    <row r="864" ht="15.75" customHeight="1" s="64"/>
    <row r="865" ht="15.75" customHeight="1" s="64"/>
    <row r="866" ht="15.75" customHeight="1" s="64"/>
    <row r="867" ht="15.75" customHeight="1" s="64"/>
    <row r="868" ht="15.75" customHeight="1" s="64"/>
    <row r="869" ht="15.75" customHeight="1" s="64"/>
    <row r="870" ht="15.75" customHeight="1" s="64"/>
    <row r="871" ht="15.75" customHeight="1" s="64"/>
    <row r="872" ht="15.75" customHeight="1" s="64"/>
    <row r="873" ht="15.75" customHeight="1" s="64"/>
    <row r="874" ht="15.75" customHeight="1" s="64"/>
    <row r="875" ht="15.75" customHeight="1" s="64"/>
    <row r="876" ht="15.75" customHeight="1" s="64"/>
    <row r="877" ht="15.75" customHeight="1" s="64"/>
    <row r="878" ht="15.75" customHeight="1" s="64"/>
    <row r="879" ht="15.75" customHeight="1" s="64"/>
    <row r="880" ht="15.75" customHeight="1" s="64"/>
    <row r="881" ht="15.75" customHeight="1" s="64"/>
    <row r="882" ht="15.75" customHeight="1" s="64"/>
    <row r="883" ht="15.75" customHeight="1" s="64"/>
    <row r="884" ht="15.75" customHeight="1" s="64"/>
    <row r="885" ht="15.75" customHeight="1" s="64"/>
    <row r="886" ht="15.75" customHeight="1" s="64"/>
    <row r="887" ht="15.75" customHeight="1" s="64"/>
    <row r="888" ht="15.75" customHeight="1" s="64"/>
    <row r="889" ht="15.75" customHeight="1" s="64"/>
    <row r="890" ht="15.75" customHeight="1" s="64"/>
    <row r="891" ht="15.75" customHeight="1" s="64"/>
    <row r="892" ht="15.75" customHeight="1" s="64"/>
    <row r="893" ht="15.75" customHeight="1" s="64"/>
    <row r="894" ht="15.75" customHeight="1" s="64"/>
    <row r="895" ht="15.75" customHeight="1" s="64"/>
    <row r="896" ht="15.75" customHeight="1" s="64"/>
    <row r="897" ht="15.75" customHeight="1" s="64"/>
    <row r="898" ht="15.75" customHeight="1" s="64"/>
    <row r="899" ht="15.75" customHeight="1" s="64"/>
    <row r="900" ht="15.75" customHeight="1" s="64"/>
    <row r="901" ht="15.75" customHeight="1" s="64"/>
    <row r="902" ht="15.75" customHeight="1" s="64"/>
    <row r="903" ht="15.75" customHeight="1" s="64"/>
    <row r="904" ht="15.75" customHeight="1" s="64"/>
    <row r="905" ht="15.75" customHeight="1" s="64"/>
    <row r="906" ht="15.75" customHeight="1" s="64"/>
    <row r="907" ht="15.75" customHeight="1" s="64"/>
    <row r="908" ht="15.75" customHeight="1" s="64"/>
    <row r="909" ht="15.75" customHeight="1" s="64"/>
    <row r="910" ht="15.75" customHeight="1" s="64"/>
    <row r="911" ht="15.75" customHeight="1" s="64"/>
    <row r="912" ht="15.75" customHeight="1" s="64"/>
    <row r="913" ht="15.75" customHeight="1" s="64"/>
    <row r="914" ht="15.75" customHeight="1" s="64"/>
    <row r="915" ht="15.75" customHeight="1" s="64"/>
    <row r="916" ht="15.75" customHeight="1" s="64"/>
    <row r="917" ht="15.75" customHeight="1" s="64"/>
    <row r="918" ht="15.75" customHeight="1" s="64"/>
    <row r="919" ht="15.75" customHeight="1" s="64"/>
    <row r="920" ht="15.75" customHeight="1" s="64"/>
    <row r="921" ht="15.75" customHeight="1" s="64"/>
    <row r="922" ht="15.75" customHeight="1" s="64"/>
    <row r="923" ht="15.75" customHeight="1" s="64"/>
    <row r="924" ht="15.75" customHeight="1" s="64"/>
    <row r="925" ht="15.75" customHeight="1" s="64"/>
    <row r="926" ht="15.75" customHeight="1" s="64"/>
    <row r="927" ht="15.75" customHeight="1" s="64"/>
    <row r="928" ht="15.75" customHeight="1" s="64"/>
    <row r="929" ht="15.75" customHeight="1" s="64"/>
    <row r="930" ht="15.75" customHeight="1" s="64"/>
    <row r="931" ht="15.75" customHeight="1" s="64"/>
    <row r="932" ht="15.75" customHeight="1" s="64"/>
    <row r="933" ht="15.75" customHeight="1" s="64"/>
    <row r="934" ht="15.75" customHeight="1" s="64"/>
    <row r="935" ht="15.75" customHeight="1" s="64"/>
    <row r="936" ht="15.75" customHeight="1" s="64"/>
    <row r="937" ht="15.75" customHeight="1" s="64"/>
    <row r="938" ht="15.75" customHeight="1" s="64"/>
    <row r="939" ht="15.75" customHeight="1" s="64"/>
    <row r="940" ht="15.75" customHeight="1" s="64"/>
    <row r="941" ht="15.75" customHeight="1" s="64"/>
    <row r="942" ht="15.75" customHeight="1" s="64"/>
    <row r="943" ht="15.75" customHeight="1" s="64"/>
    <row r="944" ht="15.75" customHeight="1" s="64"/>
    <row r="945" ht="15.75" customHeight="1" s="64"/>
    <row r="946" ht="15.75" customHeight="1" s="64"/>
    <row r="947" ht="15.75" customHeight="1" s="64"/>
    <row r="948" ht="15.75" customHeight="1" s="64"/>
    <row r="949" ht="15.75" customHeight="1" s="64"/>
    <row r="950" ht="15.75" customHeight="1" s="64"/>
    <row r="951" ht="15.75" customHeight="1" s="64"/>
    <row r="952" ht="15.75" customHeight="1" s="64"/>
    <row r="953" ht="15.75" customHeight="1" s="64"/>
    <row r="954" ht="15.75" customHeight="1" s="64"/>
    <row r="955" ht="15.75" customHeight="1" s="64"/>
    <row r="956" ht="15.75" customHeight="1" s="64"/>
    <row r="957" ht="15.75" customHeight="1" s="64"/>
    <row r="958" ht="15.75" customHeight="1" s="64"/>
    <row r="959" ht="15.75" customHeight="1" s="64"/>
    <row r="960" ht="15.75" customHeight="1" s="64"/>
    <row r="961" ht="15.75" customHeight="1" s="64"/>
    <row r="962" ht="15.75" customHeight="1" s="64"/>
    <row r="963" ht="15.75" customHeight="1" s="64"/>
    <row r="964" ht="15.75" customHeight="1" s="64"/>
    <row r="965" ht="15.75" customHeight="1" s="64"/>
    <row r="966" ht="15.75" customHeight="1" s="64"/>
    <row r="967" ht="15.75" customHeight="1" s="64"/>
    <row r="968" ht="15.75" customHeight="1" s="64"/>
    <row r="969" ht="15.75" customHeight="1" s="64"/>
    <row r="970" ht="15.75" customHeight="1" s="64"/>
    <row r="971" ht="15.75" customHeight="1" s="64"/>
    <row r="972" ht="15.75" customHeight="1" s="64"/>
    <row r="973" ht="15.75" customHeight="1" s="64"/>
    <row r="974" ht="15.75" customHeight="1" s="64"/>
    <row r="975" ht="15.75" customHeight="1" s="64"/>
    <row r="976" ht="15.75" customHeight="1" s="64"/>
    <row r="977" ht="15.75" customHeight="1" s="64"/>
    <row r="978" ht="15.75" customHeight="1" s="64"/>
    <row r="979" ht="15.75" customHeight="1" s="64"/>
    <row r="980" ht="15.75" customHeight="1" s="64"/>
    <row r="981" ht="15.75" customHeight="1" s="64"/>
    <row r="982" ht="15.75" customHeight="1" s="64"/>
    <row r="983" ht="15.75" customHeight="1" s="64"/>
    <row r="984" ht="15.75" customHeight="1" s="64"/>
    <row r="985" ht="15.75" customHeight="1" s="64"/>
    <row r="986" ht="15.75" customHeight="1" s="64"/>
    <row r="987" ht="15.75" customHeight="1" s="64"/>
    <row r="988" ht="15.75" customHeight="1" s="64"/>
    <row r="989" ht="15.75" customHeight="1" s="64"/>
    <row r="990" ht="15.75" customHeight="1" s="64"/>
    <row r="991" ht="15.75" customHeight="1" s="64"/>
    <row r="992" ht="15.75" customHeight="1" s="64"/>
    <row r="993" ht="15.75" customHeight="1" s="64"/>
    <row r="994" ht="15.75" customHeight="1" s="64"/>
    <row r="995" ht="15.75" customHeight="1" s="64"/>
    <row r="996" ht="15.75" customHeight="1" s="64"/>
    <row r="997" ht="15.75" customHeight="1" s="64"/>
    <row r="998" ht="15.75" customHeight="1" s="64"/>
    <row r="999" ht="15.75" customHeight="1" s="64"/>
    <row r="1000" ht="15.75" customHeight="1" s="64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U4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C3" activeCellId="0" sqref="C3"/>
    </sheetView>
  </sheetViews>
  <sheetFormatPr baseColWidth="8" defaultColWidth="14.43359375" defaultRowHeight="15" zeroHeight="0" outlineLevelRow="0"/>
  <cols>
    <col width="12" customWidth="1" style="63" min="1" max="2"/>
    <col width="11" customWidth="1" style="63" min="3" max="3"/>
    <col width="9" customWidth="1" style="63" min="4" max="6"/>
    <col width="8" customWidth="1" style="63" min="7" max="7"/>
    <col width="9" customWidth="1" style="63" min="8" max="10"/>
    <col width="13" customWidth="1" style="63" min="11" max="11"/>
    <col width="12" customWidth="1" style="63" min="12" max="12"/>
    <col width="15" customWidth="1" style="63" min="13" max="13"/>
    <col width="10" customWidth="1" style="63" min="14" max="14"/>
    <col width="12.57" customWidth="1" style="63" min="15" max="15"/>
    <col width="11.85" customWidth="1" style="63" min="16" max="16"/>
    <col width="12.57" customWidth="1" style="63" min="17" max="17"/>
    <col width="34" customWidth="1" style="63" min="18" max="18"/>
    <col width="10" customWidth="1" style="63" min="19" max="29"/>
  </cols>
  <sheetData>
    <row r="1" ht="15" customHeight="1" s="64">
      <c r="A1" s="86" t="inlineStr">
        <is>
          <t>DAILY MARK  —  mark at the same time every day. Blue are entries</t>
        </is>
      </c>
    </row>
    <row r="2" ht="15" customHeight="1" s="64">
      <c r="A2" s="87" t="inlineStr">
        <is>
          <t>Date</t>
        </is>
      </c>
      <c r="B2" s="87" t="inlineStr">
        <is>
          <t>DTE</t>
        </is>
      </c>
      <c r="C2" s="88" t="inlineStr">
        <is>
          <t>SPY Close</t>
        </is>
      </c>
      <c r="D2" s="87" t="inlineStr">
        <is>
          <t>Return</t>
        </is>
      </c>
      <c r="E2" s="87" t="inlineStr">
        <is>
          <t>|Return|</t>
        </is>
      </c>
      <c r="F2" s="87" t="inlineStr">
        <is>
          <t>Daily Bar</t>
        </is>
      </c>
      <c r="G2" s="87" t="inlineStr">
        <is>
          <t>Beat?</t>
        </is>
      </c>
      <c r="H2" s="88" t="inlineStr">
        <is>
          <t>Call IV</t>
        </is>
      </c>
      <c r="I2" s="88" t="inlineStr">
        <is>
          <t>Put IV</t>
        </is>
      </c>
      <c r="J2" s="87" t="inlineStr">
        <is>
          <t>ATM IV</t>
        </is>
      </c>
      <c r="K2" s="88" t="inlineStr">
        <is>
          <t>Straddle Mark</t>
        </is>
      </c>
      <c r="L2" s="87" t="inlineStr">
        <is>
          <t>P&amp;L ($)</t>
        </is>
      </c>
      <c r="M2" s="87" t="inlineStr">
        <is>
          <t>Realized Vol (ann)</t>
        </is>
      </c>
      <c r="N2" s="87" t="inlineStr">
        <is>
          <t>RV − IV</t>
        </is>
      </c>
      <c r="O2" s="87" t="inlineStr">
        <is>
          <t>Gamma (sh/$1)</t>
        </is>
      </c>
      <c r="P2" s="87" t="inlineStr">
        <is>
          <t>Theta ($/day)</t>
        </is>
      </c>
      <c r="Q2" s="87" t="inlineStr">
        <is>
          <t>Vega ($/pt)</t>
        </is>
      </c>
      <c r="R2" s="88" t="inlineStr">
        <is>
          <t>Notes</t>
        </is>
      </c>
      <c r="S2" s="89" t="inlineStr">
        <is>
          <t>Call Mid</t>
        </is>
      </c>
      <c r="T2" s="89" t="inlineStr">
        <is>
          <t>Put Mid</t>
        </is>
      </c>
      <c r="U2" s="90" t="inlineStr">
        <is>
          <t>Delta (sh)</t>
        </is>
      </c>
    </row>
    <row r="3" ht="15" customHeight="1" s="64">
      <c r="A3" s="91">
        <f>Entry!$B$10</f>
        <v/>
      </c>
      <c r="B3" s="92">
        <f>IF($A3="","",Entry!$B$8-$A3)</f>
        <v/>
      </c>
      <c r="C3" s="93">
        <f>Entry!$B$11</f>
        <v/>
      </c>
      <c r="D3" s="94" t="n"/>
      <c r="E3" s="94" t="n"/>
      <c r="F3" s="94" t="n"/>
      <c r="G3" s="94" t="n"/>
      <c r="H3" s="94" t="n"/>
      <c r="I3" s="94" t="n"/>
      <c r="J3" s="94" t="n"/>
      <c r="K3" s="93">
        <f>Entry!$B$13</f>
        <v/>
      </c>
      <c r="L3" s="94" t="n"/>
      <c r="M3" s="94" t="n"/>
      <c r="N3" s="94" t="n"/>
      <c r="O3" s="95" t="n"/>
      <c r="P3" s="95" t="n"/>
      <c r="Q3" s="95" t="n"/>
      <c r="R3" s="95" t="inlineStr">
        <is>
          <t>ENTRY — row zero</t>
        </is>
      </c>
    </row>
    <row r="4" ht="15" customHeight="1" s="64">
      <c r="A4" s="96" t="n">
        <v>46259</v>
      </c>
      <c r="B4" s="97">
        <f>Entry!$B$8-$A4</f>
        <v/>
      </c>
      <c r="C4" s="98" t="n">
        <v>765.85</v>
      </c>
      <c r="D4" s="99">
        <f>IF(OR($C4="",$C3=""),"",$C4/$C3-1)</f>
        <v/>
      </c>
      <c r="E4" s="99">
        <f>IF(ISNUMBER($D4),ABS($D4),"")</f>
        <v/>
      </c>
      <c r="F4" s="99">
        <f>IF(Entry!$B$30="","",Entry!$B$30)</f>
        <v/>
      </c>
      <c r="G4" s="100">
        <f>IF(AND(ISNUMBER($E4),ISNUMBER($F4)),IF($E4&gt;$F4,"YES","no"),"")</f>
        <v/>
      </c>
      <c r="H4" s="101" t="n">
        <v>0.1272</v>
      </c>
      <c r="I4" s="101" t="n">
        <v>0.1272</v>
      </c>
      <c r="J4" s="99">
        <f>IF(COUNT($H4:$I4)=0,"",AVERAGE($H4:$I4))</f>
        <v/>
      </c>
      <c r="K4" s="98" t="n">
        <v>23.14</v>
      </c>
      <c r="L4" s="102">
        <f>IF($K4="","",($K4-Entry!$B$13)*Entry!$B$9*100)</f>
        <v/>
      </c>
      <c r="M4" s="99">
        <f>IF(COUNT($D$4:$D4)=0,"",SQRT(SUMSQ($D$4:$D4)/COUNT($D$4:$D4))*SQRT(252))</f>
        <v/>
      </c>
      <c r="N4" s="99">
        <f>IF(OR($M4="",Entry!$B$20=""),"",$M4-Entry!$B$20)</f>
        <v/>
      </c>
      <c r="O4" s="103" t="n">
        <v>5.6</v>
      </c>
      <c r="P4" s="104" t="n">
        <v>-73.41</v>
      </c>
      <c r="Q4" s="104" t="n">
        <v>353.19</v>
      </c>
      <c r="R4" s="105" t="inlineStr">
        <is>
          <t xml:space="preserve">steady slow decline for the past week </t>
        </is>
      </c>
      <c r="S4" s="106" t="n"/>
      <c r="T4" s="106" t="n"/>
      <c r="U4" s="107" t="n">
        <v>17.3</v>
      </c>
    </row>
    <row r="5" ht="15" customHeight="1" s="64">
      <c r="A5" s="96" t="n">
        <v>46260</v>
      </c>
      <c r="B5" s="97">
        <f>Entry!$B$8-$A5</f>
        <v/>
      </c>
      <c r="C5" s="98" t="n">
        <v>766.01</v>
      </c>
      <c r="D5" s="99">
        <f>IF(OR($C5="",$C4=""),"",$C5/$C4-1)</f>
        <v/>
      </c>
      <c r="E5" s="99">
        <f>IF(ISNUMBER($D5),ABS($D5),"")</f>
        <v/>
      </c>
      <c r="F5" s="99">
        <f>IF(Entry!$B$30="","",Entry!$B$30)</f>
        <v/>
      </c>
      <c r="G5" s="100">
        <f>IF(AND(ISNUMBER($E5),ISNUMBER($F5)),IF($E5&gt;$F5,"YES","no"),"")</f>
        <v/>
      </c>
      <c r="H5" s="101" t="n">
        <v>0.1268</v>
      </c>
      <c r="I5" s="101" t="n">
        <v>0.1268</v>
      </c>
      <c r="J5" s="99">
        <f>IF(COUNT($H5:$I5)=0,"",AVERAGE($H5:$I5))</f>
        <v/>
      </c>
      <c r="K5" s="98" t="n">
        <v>22.68</v>
      </c>
      <c r="L5" s="102">
        <f>IF($K5="","",($K5-Entry!$B$13)*Entry!$B$9*100)</f>
        <v/>
      </c>
      <c r="M5" s="99">
        <f>IF(COUNT($D$4:$D5)=0,"",SQRT(SUMSQ($D$4:$D5)/COUNT($D$4:$D5))*SQRT(252))</f>
        <v/>
      </c>
      <c r="N5" s="99">
        <f>IF(OR($M5="",Entry!$B$20=""),"",$M5-Entry!$B$20)</f>
        <v/>
      </c>
      <c r="O5" s="103" t="n">
        <v>5.71</v>
      </c>
      <c r="P5" s="104" t="n">
        <v>-74.43000000000001</v>
      </c>
      <c r="Q5" s="104" t="n">
        <v>347.36</v>
      </c>
      <c r="R5" s="105" t="n"/>
      <c r="S5" s="106" t="n"/>
      <c r="T5" s="106" t="n"/>
      <c r="U5" s="107" t="n">
        <v>18</v>
      </c>
    </row>
    <row r="6" ht="15" customHeight="1" s="64">
      <c r="A6" s="96" t="n">
        <v>46261</v>
      </c>
      <c r="B6" s="97">
        <f>Entry!$B$8-$A6</f>
        <v/>
      </c>
      <c r="C6" s="98" t="n">
        <v>771.08</v>
      </c>
      <c r="D6" s="99">
        <f>IF(OR($C6="",$C5=""),"",$C6/$C5-1)</f>
        <v/>
      </c>
      <c r="E6" s="99">
        <f>IF(ISNUMBER($D6),ABS($D6),"")</f>
        <v/>
      </c>
      <c r="F6" s="99">
        <f>IF(Entry!$B$30="","",Entry!$B$30)</f>
        <v/>
      </c>
      <c r="G6" s="100">
        <f>IF(AND(ISNUMBER($E6),ISNUMBER($F6)),IF($E6&gt;$F6,"YES","no"),"")</f>
        <v/>
      </c>
      <c r="H6" s="101" t="n">
        <v>0.1234</v>
      </c>
      <c r="I6" s="101" t="n">
        <v>0.1235</v>
      </c>
      <c r="J6" s="99">
        <f>IF(COUNT($H6:$I6)=0,"",AVERAGE($H6:$I6))</f>
        <v/>
      </c>
      <c r="K6" s="98" t="n">
        <v>22.42</v>
      </c>
      <c r="L6" s="102">
        <f>IF($K6="","",($K6-Entry!$B$13)*Entry!$B$9*100)</f>
        <v/>
      </c>
      <c r="M6" s="99">
        <f>IF(COUNT($D$4:$D6)=0,"",SQRT(SUMSQ($D$4:$D6)/COUNT($D$4:$D6))*SQRT(252))</f>
        <v/>
      </c>
      <c r="N6" s="99">
        <f>IF(OR($M6="",Entry!$B$20=""),"",$M6-Entry!$B$20)</f>
        <v/>
      </c>
      <c r="O6" s="103" t="n">
        <v>5.69</v>
      </c>
      <c r="P6" s="104" t="n">
        <v>-73.87</v>
      </c>
      <c r="Q6" s="104" t="n">
        <v>330.45</v>
      </c>
      <c r="R6" s="105" t="n"/>
      <c r="S6" s="106" t="n"/>
      <c r="T6" s="106" t="n"/>
      <c r="U6" s="107" t="n">
        <v>47.6</v>
      </c>
    </row>
    <row r="7" ht="15" customHeight="1" s="64">
      <c r="A7" s="96" t="n">
        <v>46262</v>
      </c>
      <c r="B7" s="97">
        <f>Entry!$B$8-$A7</f>
        <v/>
      </c>
      <c r="C7" s="98" t="n">
        <v>769.27</v>
      </c>
      <c r="D7" s="99">
        <f>IF(OR($C7="",$C6=""),"",$C7/$C6-1)</f>
        <v/>
      </c>
      <c r="E7" s="99">
        <f>IF(ISNUMBER($D7),ABS($D7),"")</f>
        <v/>
      </c>
      <c r="F7" s="99">
        <f>IF(Entry!$B$30="","",Entry!$B$30)</f>
        <v/>
      </c>
      <c r="G7" s="100">
        <f>IF(AND(ISNUMBER($E7),ISNUMBER($F7)),IF($E7&gt;$F7,"YES","no"),"")</f>
        <v/>
      </c>
      <c r="H7" s="101" t="n">
        <v>0.119</v>
      </c>
      <c r="I7" s="101" t="n">
        <v>0.119</v>
      </c>
      <c r="J7" s="99">
        <f>IF(COUNT($H7:$I7)=0,"",AVERAGE($H7:$I7))</f>
        <v/>
      </c>
      <c r="K7" s="98" t="n">
        <v>21.07</v>
      </c>
      <c r="L7" s="102">
        <f>IF($K7="","",($K7-Entry!$B$13)*Entry!$B$9*100)</f>
        <v/>
      </c>
      <c r="M7" s="99">
        <f>IF(COUNT($D$4:$D7)=0,"",SQRT(SUMSQ($D$4:$D7)/COUNT($D$4:$D7))*SQRT(252))</f>
        <v/>
      </c>
      <c r="N7" s="99">
        <f>IF(OR($M7="",Entry!$B$20=""),"",$M7-Entry!$B$20)</f>
        <v/>
      </c>
      <c r="O7" s="103" t="n">
        <v>6.13</v>
      </c>
      <c r="P7" s="104" t="n">
        <v>-72.75</v>
      </c>
      <c r="Q7" s="104" t="n">
        <v>329.27</v>
      </c>
      <c r="R7" s="105" t="n"/>
      <c r="S7" s="106" t="n"/>
      <c r="T7" s="106" t="n"/>
      <c r="U7" s="107" t="n">
        <v>38.4</v>
      </c>
    </row>
    <row r="8" ht="15" customHeight="1" s="64">
      <c r="A8" s="96" t="n">
        <v>46265</v>
      </c>
      <c r="B8" s="97">
        <f>Entry!$B$8-$A8</f>
        <v/>
      </c>
      <c r="C8" s="98" t="n">
        <v>767.02</v>
      </c>
      <c r="D8" s="99">
        <f>IF(OR($C8="",$C7=""),"",$C8/$C7-1)</f>
        <v/>
      </c>
      <c r="E8" s="99">
        <f>IF(ISNUMBER($D8),ABS($D8),"")</f>
        <v/>
      </c>
      <c r="F8" s="99">
        <f>IF(Entry!$B$30="","",Entry!$B$30)</f>
        <v/>
      </c>
      <c r="G8" s="100">
        <f>IF(AND(ISNUMBER($E8),ISNUMBER($F8)),IF($E8&gt;$F8,"YES","no"),"")</f>
        <v/>
      </c>
      <c r="H8" s="101" t="n">
        <v>0.1207</v>
      </c>
      <c r="I8" s="101" t="n">
        <v>0.1207</v>
      </c>
      <c r="J8" s="99">
        <f>IF(COUNT($H8:$I8)=0,"",AVERAGE($H8:$I8))</f>
        <v/>
      </c>
      <c r="K8" s="98" t="n">
        <v>19.88</v>
      </c>
      <c r="L8" s="102">
        <f>IF($K8="","",($K8-Entry!$B$13)*Entry!$B$9*100)</f>
        <v/>
      </c>
      <c r="M8" s="99">
        <f>IF(COUNT($D$4:$D8)=0,"",SQRT(SUMSQ($D$4:$D8)/COUNT($D$4:$D8))*SQRT(252))</f>
        <v/>
      </c>
      <c r="N8" s="99">
        <f>IF(OR($M8="",Entry!$B$20=""),"",$M8-Entry!$B$20)</f>
        <v/>
      </c>
      <c r="O8" s="103" t="n">
        <v>6.53</v>
      </c>
      <c r="P8" s="104" t="n">
        <v>-77.84999999999999</v>
      </c>
      <c r="Q8" s="104" t="n">
        <v>316.01</v>
      </c>
      <c r="R8" s="105" t="inlineStr">
        <is>
          <t>migrated</t>
        </is>
      </c>
      <c r="S8" s="106" t="n"/>
      <c r="T8" s="106" t="n"/>
      <c r="U8" s="107" t="n">
        <v>23.7</v>
      </c>
    </row>
    <row r="9" ht="15" customHeight="1" s="64">
      <c r="A9" s="96" t="n">
        <v>46266</v>
      </c>
      <c r="B9" s="97">
        <f>Entry!$B$8-$A9</f>
        <v/>
      </c>
      <c r="C9" s="98" t="n">
        <v>761.72</v>
      </c>
      <c r="D9" s="99">
        <f>IF(OR($C9="",$C8=""),"",$C9/$C8-1)</f>
        <v/>
      </c>
      <c r="E9" s="99">
        <f>IF(ISNUMBER($D9),ABS($D9),"")</f>
        <v/>
      </c>
      <c r="F9" s="99">
        <f>IF(Entry!$B$30="","",Entry!$B$30)</f>
        <v/>
      </c>
      <c r="G9" s="100">
        <f>IF(AND(ISNUMBER($E9),ISNUMBER($F9)),IF($E9&gt;$F9,"YES","no"),"")</f>
        <v/>
      </c>
      <c r="H9" s="101" t="n">
        <v>0.1273</v>
      </c>
      <c r="I9" s="101" t="n">
        <v>0.129</v>
      </c>
      <c r="J9" s="99">
        <f>IF(COUNT($H9:$I9)=0,"",AVERAGE($H9:$I9))</f>
        <v/>
      </c>
      <c r="K9" s="98" t="n">
        <v>20.02</v>
      </c>
      <c r="L9" s="102">
        <f>IF($K9="","",($K9-Entry!$B$13)*Entry!$B$9*100)</f>
        <v/>
      </c>
      <c r="M9" s="99">
        <f>IF(COUNT($D$4:$D9)=0,"",SQRT(SUMSQ($D$4:$D9)/COUNT($D$4:$D9))*SQRT(252))</f>
        <v/>
      </c>
      <c r="N9" s="99">
        <f>IF(OR($M9="",Entry!$B$20=""),"",$M9-Entry!$B$20)</f>
        <v/>
      </c>
      <c r="O9" s="103" t="n">
        <v>6.38</v>
      </c>
      <c r="P9" s="104" t="n">
        <v>-81.41</v>
      </c>
      <c r="Q9" s="104" t="n">
        <v>310.15</v>
      </c>
      <c r="R9" s="105" t="n"/>
      <c r="S9" s="106" t="n">
        <v>8.859999999999999</v>
      </c>
      <c r="T9" s="106" t="n">
        <v>11.16</v>
      </c>
      <c r="U9" s="107" t="n">
        <v>-11.2</v>
      </c>
    </row>
    <row r="10" ht="15" customHeight="1" s="64">
      <c r="A10" s="96" t="n">
        <v>46267</v>
      </c>
      <c r="B10" s="97">
        <f>Entry!$B$8-$A10</f>
        <v/>
      </c>
      <c r="C10" s="98" t="n">
        <v>765.2</v>
      </c>
      <c r="D10" s="99">
        <f>IF(OR($C10="",$C9=""),"",$C10/$C9-1)</f>
        <v/>
      </c>
      <c r="E10" s="99">
        <f>IF(ISNUMBER($D10),ABS($D10),"")</f>
        <v/>
      </c>
      <c r="F10" s="99">
        <f>IF(Entry!$B$30="","",Entry!$B$30)</f>
        <v/>
      </c>
      <c r="G10" s="100">
        <f>IF(AND(ISNUMBER($E10),ISNUMBER($F10)),IF($E10&gt;$F10,"YES","no"),"")</f>
        <v/>
      </c>
      <c r="H10" s="101" t="n">
        <v>0.1246</v>
      </c>
      <c r="I10" s="101" t="n">
        <v>0.1216</v>
      </c>
      <c r="J10" s="99">
        <f>IF(COUNT($H10:$I10)=0,"",AVERAGE($H10:$I10))</f>
        <v/>
      </c>
      <c r="K10" s="98" t="n">
        <v>18.83</v>
      </c>
      <c r="L10" s="102">
        <f>IF($K10="","",($K10-Entry!$B$13)*Entry!$B$9*100)</f>
        <v/>
      </c>
      <c r="M10" s="99">
        <f>IF(COUNT($D$4:$D10)=0,"",SQRT(SUMSQ($D$4:$D10)/COUNT($D$4:$D10))*SQRT(252))</f>
        <v/>
      </c>
      <c r="N10" s="99">
        <f>IF(OR($M10="",Entry!$B$20=""),"",$M10-Entry!$B$20)</f>
        <v/>
      </c>
      <c r="O10" s="103" t="n">
        <v>6.75</v>
      </c>
      <c r="P10" s="104" t="n">
        <v>-82.13</v>
      </c>
      <c r="Q10" s="104" t="n">
        <v>305.07</v>
      </c>
      <c r="R10" s="105" t="n"/>
      <c r="S10" s="106" t="n">
        <v>10.14</v>
      </c>
      <c r="T10" s="106" t="n">
        <v>8.69</v>
      </c>
      <c r="U10" s="107" t="n">
        <v>10.8</v>
      </c>
    </row>
    <row r="11" ht="15" customHeight="1" s="64">
      <c r="A11" s="96" t="n">
        <v>46268</v>
      </c>
      <c r="B11" s="97">
        <f>Entry!$B$8-$A11</f>
        <v/>
      </c>
      <c r="C11" s="98" t="n">
        <v>772.8</v>
      </c>
      <c r="D11" s="99">
        <f>IF(OR($C11="",$C10=""),"",$C11/$C10-1)</f>
        <v/>
      </c>
      <c r="E11" s="99">
        <f>IF(ISNUMBER($D11),ABS($D11),"")</f>
        <v/>
      </c>
      <c r="F11" s="99">
        <f>IF(Entry!$B$30="","",Entry!$B$30)</f>
        <v/>
      </c>
      <c r="G11" s="100">
        <f>IF(AND(ISNUMBER($E11),ISNUMBER($F11)),IF($E11&gt;$F11,"YES","no"),"")</f>
        <v/>
      </c>
      <c r="H11" s="101" t="n">
        <v>0.1313</v>
      </c>
      <c r="I11" s="101" t="n">
        <v>0.1228</v>
      </c>
      <c r="J11" s="99">
        <f>IF(COUNT($H11:$I11)=0,"",AVERAGE($H11:$I11))</f>
        <v/>
      </c>
      <c r="K11" s="98" t="n">
        <v>20.34</v>
      </c>
      <c r="L11" s="102">
        <f>IF($K11="","",($K11-Entry!$B$13)*Entry!$B$9*100)</f>
        <v/>
      </c>
      <c r="M11" s="99">
        <f>IF(COUNT($D$4:$D11)=0,"",SQRT(SUMSQ($D$4:$D11)/COUNT($D$4:$D11))*SQRT(252))</f>
        <v/>
      </c>
      <c r="N11" s="99">
        <f>IF(OR($M11="",Entry!$B$20=""),"",$M11-Entry!$B$20)</f>
        <v/>
      </c>
      <c r="O11" s="103" t="n">
        <v>6.18</v>
      </c>
      <c r="P11" s="104" t="n">
        <v>-85.67</v>
      </c>
      <c r="Q11" s="104" t="n">
        <v>280.79</v>
      </c>
      <c r="R11" s="105" t="n"/>
      <c r="S11" s="106" t="n">
        <v>14.84</v>
      </c>
      <c r="T11" s="106" t="n">
        <v>5.5</v>
      </c>
      <c r="U11" s="107" t="n">
        <v>59.5</v>
      </c>
    </row>
    <row r="12" ht="15" customHeight="1" s="64">
      <c r="A12" s="96" t="n">
        <v>46269</v>
      </c>
      <c r="B12" s="97">
        <f>Entry!$B$8-$A12</f>
        <v/>
      </c>
      <c r="C12" s="98" t="n">
        <v>770.24</v>
      </c>
      <c r="D12" s="99">
        <f>IF(OR($C12="",$C11=""),"",$C12/$C11-1)</f>
        <v/>
      </c>
      <c r="E12" s="99">
        <f>IF(ISNUMBER($D12),ABS($D12),"")</f>
        <v/>
      </c>
      <c r="F12" s="99">
        <f>IF(Entry!$B$30="","",Entry!$B$30)</f>
        <v/>
      </c>
      <c r="G12" s="100">
        <f>IF(AND(ISNUMBER($E12),ISNUMBER($F12)),IF($E12&gt;$F12,"YES","no"),"")</f>
        <v/>
      </c>
      <c r="H12" s="101" t="n">
        <v>0.1124</v>
      </c>
      <c r="I12" s="101" t="n">
        <v>0.1241</v>
      </c>
      <c r="J12" s="99">
        <f>IF(COUNT($H12:$I12)=0,"",AVERAGE($H12:$I12))</f>
        <v/>
      </c>
      <c r="K12" s="98" t="n">
        <v>18</v>
      </c>
      <c r="L12" s="102">
        <f>IF($K12="","",($K12-Entry!$B$13)*Entry!$B$9*100)</f>
        <v/>
      </c>
      <c r="M12" s="99">
        <f>IF(COUNT($D$4:$D12)=0,"",SQRT(SUMSQ($D$4:$D12)/COUNT($D$4:$D12))*SQRT(252))</f>
        <v/>
      </c>
      <c r="N12" s="99">
        <f>IF(OR($M12="",Entry!$B$20=""),"",$M12-Entry!$B$20)</f>
        <v/>
      </c>
      <c r="O12" s="103" t="n">
        <v>7.02</v>
      </c>
      <c r="P12" s="104" t="n">
        <v>-82.79000000000001</v>
      </c>
      <c r="Q12" s="104" t="n">
        <v>281.48</v>
      </c>
      <c r="R12" s="105" t="n"/>
      <c r="S12" s="106" t="n">
        <v>11.64</v>
      </c>
      <c r="T12" s="106" t="n">
        <v>6.36</v>
      </c>
      <c r="U12" s="107" t="n">
        <v>46.5</v>
      </c>
    </row>
    <row r="13" ht="15" customHeight="1" s="64">
      <c r="A13" s="96" t="n">
        <v>46273</v>
      </c>
      <c r="B13" s="97">
        <f>Entry!$B$8-$A13</f>
        <v/>
      </c>
      <c r="C13" s="98" t="n">
        <v>765.96</v>
      </c>
      <c r="D13" s="99">
        <f>IF(OR($C13="",$C12=""),"",$C13/$C12-1)</f>
        <v/>
      </c>
      <c r="E13" s="99">
        <f>IF(ISNUMBER($D13),ABS($D13),"")</f>
        <v/>
      </c>
      <c r="F13" s="99">
        <f>IF(Entry!$B$30="","",Entry!$B$30)</f>
        <v/>
      </c>
      <c r="G13" s="100">
        <f>IF(AND(ISNUMBER($E13),ISNUMBER($F13)),IF($E13&gt;$F13,"YES","no"),"")</f>
        <v/>
      </c>
      <c r="H13" s="101" t="n">
        <v>0.1247</v>
      </c>
      <c r="I13" s="101" t="n">
        <v>0.1272</v>
      </c>
      <c r="J13" s="99">
        <f>IF(COUNT($H13:$I13)=0,"",AVERAGE($H13:$I13))</f>
        <v/>
      </c>
      <c r="K13" s="98" t="n">
        <v>16.6</v>
      </c>
      <c r="L13" s="102">
        <f>IF($K13="","",($K13-Entry!$B$13)*Entry!$B$9*100)</f>
        <v/>
      </c>
      <c r="M13" s="99">
        <f>IF(COUNT($D$4:$D13)=0,"",SQRT(SUMSQ($D$4:$D13)/COUNT($D$4:$D13))*SQRT(252))</f>
        <v/>
      </c>
      <c r="N13" s="99">
        <f>IF(OR($M13="",Entry!$B$20=""),"",$M13-Entry!$B$20)</f>
        <v/>
      </c>
      <c r="O13" s="103" t="n">
        <v>7.65</v>
      </c>
      <c r="P13" s="104" t="n">
        <v>-97.92</v>
      </c>
      <c r="Q13" s="104" t="n">
        <v>262.18</v>
      </c>
      <c r="R13" s="105" t="n"/>
      <c r="S13" s="106" t="n">
        <v>8.960000000000001</v>
      </c>
      <c r="T13" s="106" t="n">
        <v>7.64</v>
      </c>
      <c r="U13" s="107" t="n">
        <v>13.6</v>
      </c>
    </row>
    <row r="14" ht="15" customHeight="1" s="64">
      <c r="A14" s="96" t="n">
        <v>46274</v>
      </c>
      <c r="B14" s="97">
        <f>Entry!$B$8-$A14</f>
        <v/>
      </c>
      <c r="C14" s="98" t="n">
        <v>762.45</v>
      </c>
      <c r="D14" s="99">
        <f>IF(OR($C14="",$C13=""),"",$C14/$C13-1)</f>
        <v/>
      </c>
      <c r="E14" s="99">
        <f>IF(ISNUMBER($D14),ABS($D14),"")</f>
        <v/>
      </c>
      <c r="F14" s="99">
        <f>IF(Entry!$B$30="","",Entry!$B$30)</f>
        <v/>
      </c>
      <c r="G14" s="100">
        <f>IF(AND(ISNUMBER($E14),ISNUMBER($F14)),IF($E14&gt;$F14,"YES","no"),"")</f>
        <v/>
      </c>
      <c r="H14" s="101" t="n">
        <v>0.1275</v>
      </c>
      <c r="I14" s="101" t="n">
        <v>0.137</v>
      </c>
      <c r="J14" s="99">
        <f>IF(COUNT($H14:$I14)=0,"",AVERAGE($H14:$I14))</f>
        <v/>
      </c>
      <c r="K14" s="98" t="n">
        <v>16.91</v>
      </c>
      <c r="L14" s="102">
        <f>IF($K14="","",($K14-Entry!$B$13)*Entry!$B$9*100)</f>
        <v/>
      </c>
      <c r="M14" s="99">
        <f>IF(COUNT($D$4:$D14)=0,"",SQRT(SUMSQ($D$4:$D14)/COUNT($D$4:$D14))*SQRT(252))</f>
        <v/>
      </c>
      <c r="N14" s="99">
        <f>IF(OR($M14="",Entry!$B$20=""),"",$M14-Entry!$B$20)</f>
        <v/>
      </c>
      <c r="O14" s="103" t="n">
        <v>7.56</v>
      </c>
      <c r="P14" s="104" t="n">
        <v>-103.11</v>
      </c>
      <c r="Q14" s="104" t="n">
        <v>253.16</v>
      </c>
      <c r="R14" s="105" t="n"/>
      <c r="S14" s="106" t="n">
        <v>7.1</v>
      </c>
      <c r="T14" s="106" t="n">
        <v>9.81</v>
      </c>
      <c r="U14" s="107" t="n">
        <v>-13.8</v>
      </c>
    </row>
    <row r="15" ht="15" customHeight="1" s="64">
      <c r="A15" s="96" t="n">
        <v>46275</v>
      </c>
      <c r="B15" s="97">
        <f>Entry!$B$8-$A15</f>
        <v/>
      </c>
      <c r="C15" s="98" t="n">
        <v>757.83</v>
      </c>
      <c r="D15" s="99">
        <f>IF(OR($C15="",$C14=""),"",$C15/$C14-1)</f>
        <v/>
      </c>
      <c r="E15" s="99">
        <f>IF(ISNUMBER($D15),ABS($D15),"")</f>
        <v/>
      </c>
      <c r="F15" s="99">
        <f>IF(Entry!$B$30="","",Entry!$B$30)</f>
        <v/>
      </c>
      <c r="G15" s="100">
        <f>IF(AND(ISNUMBER($E15),ISNUMBER($F15)),IF($E15&gt;$F15,"YES","no"),"")</f>
        <v/>
      </c>
      <c r="H15" s="101" t="n">
        <v>0.1397</v>
      </c>
      <c r="I15" s="101" t="n">
        <v>0.1305</v>
      </c>
      <c r="J15" s="99">
        <f>IF(COUNT($H15:$I15)=0,"",AVERAGE($H15:$I15))</f>
        <v/>
      </c>
      <c r="K15" s="98" t="n">
        <v>17.48</v>
      </c>
      <c r="L15" s="102">
        <f>IF($K15="","",($K15-Entry!$B$13)*Entry!$B$9*100)</f>
        <v/>
      </c>
      <c r="M15" s="99">
        <f>IF(COUNT($D$4:$D15)=0,"",SQRT(SUMSQ($D$4:$D15)/COUNT($D$4:$D15))*SQRT(252))</f>
        <v/>
      </c>
      <c r="N15" s="99">
        <f>IF(OR($M15="",Entry!$B$20=""),"",$M15-Entry!$B$20)</f>
        <v/>
      </c>
      <c r="O15" s="103" t="n">
        <v>7.34</v>
      </c>
      <c r="P15" s="104" t="n">
        <v>-100.38</v>
      </c>
      <c r="Q15" s="104" t="n">
        <v>232.75</v>
      </c>
      <c r="R15" s="105" t="n"/>
      <c r="S15" s="106" t="n">
        <v>5.6</v>
      </c>
      <c r="T15" s="106" t="n">
        <v>11.88</v>
      </c>
      <c r="U15" s="107" t="n">
        <v>-49.3</v>
      </c>
    </row>
    <row r="16" ht="15" customHeight="1" s="64">
      <c r="A16" s="96" t="n">
        <v>46276</v>
      </c>
      <c r="B16" s="97">
        <f>Entry!$B$8-$A16</f>
        <v/>
      </c>
      <c r="C16" s="98" t="n">
        <v>764.29</v>
      </c>
      <c r="D16" s="99">
        <f>IF(OR($C16="",$C15=""),"",$C16/$C15-1)</f>
        <v/>
      </c>
      <c r="E16" s="99">
        <f>IF(ISNUMBER($D16),ABS($D16),"")</f>
        <v/>
      </c>
      <c r="F16" s="99">
        <f>IF(Entry!$B$30="","",Entry!$B$30)</f>
        <v/>
      </c>
      <c r="G16" s="100">
        <f>IF(AND(ISNUMBER($E16),ISNUMBER($F16)),IF($E16&gt;$F16,"YES","no"),"")</f>
        <v/>
      </c>
      <c r="H16" s="101" t="n">
        <v>0.1173</v>
      </c>
      <c r="I16" s="101" t="n">
        <v>0.1178</v>
      </c>
      <c r="J16" s="99">
        <f>IF(COUNT($H16:$I16)=0,"",AVERAGE($H16:$I16))</f>
        <v/>
      </c>
      <c r="K16" s="98" t="n">
        <v>14.01</v>
      </c>
      <c r="L16" s="102">
        <f>IF($K16="","",($K16-Entry!$B$13)*Entry!$B$9*100)</f>
        <v/>
      </c>
      <c r="M16" s="99">
        <f>IF(COUNT($D$4:$D16)=0,"",SQRT(SUMSQ($D$4:$D16)/COUNT($D$4:$D16))*SQRT(252))</f>
        <v/>
      </c>
      <c r="N16" s="99">
        <f>IF(OR($M16="",Entry!$B$20=""),"",$M16-Entry!$B$20)</f>
        <v/>
      </c>
      <c r="O16" s="103" t="n">
        <v>9.09</v>
      </c>
      <c r="P16" s="104" t="n">
        <v>-99.52</v>
      </c>
      <c r="Q16" s="104" t="n">
        <v>238.25</v>
      </c>
      <c r="R16" s="105" t="n"/>
      <c r="S16" s="106" t="n">
        <v>6.77</v>
      </c>
      <c r="T16" s="106" t="n">
        <v>7.24</v>
      </c>
      <c r="U16" s="107" t="n">
        <v>-2.1</v>
      </c>
    </row>
    <row r="17" ht="15" customHeight="1" s="64">
      <c r="A17" s="96" t="n">
        <v>46279</v>
      </c>
      <c r="B17" s="97">
        <f>Entry!$B$8-$A17</f>
        <v/>
      </c>
      <c r="C17" s="98" t="n">
        <v>760.88</v>
      </c>
      <c r="D17" s="99">
        <f>IF(OR($C17="",$C16=""),"",$C17/$C16-1)</f>
        <v/>
      </c>
      <c r="E17" s="99">
        <f>IF(ISNUMBER($D17),ABS($D17),"")</f>
        <v/>
      </c>
      <c r="F17" s="99">
        <f>IF(Entry!$B$30="","",Entry!$B$30)</f>
        <v/>
      </c>
      <c r="G17" s="100">
        <f>IF(AND(ISNUMBER($E17),ISNUMBER($F17)),IF($E17&gt;$F17,"YES","no"),"")</f>
        <v/>
      </c>
      <c r="H17" s="101" t="n">
        <v>0.1289</v>
      </c>
      <c r="I17" s="101" t="n">
        <v>0.1297</v>
      </c>
      <c r="J17" s="99">
        <f>IF(COUNT($H17:$I17)=0,"",AVERAGE($H17:$I17))</f>
        <v/>
      </c>
      <c r="K17" s="98" t="n">
        <v>14.02</v>
      </c>
      <c r="L17" s="102">
        <f>IF($K17="","",($K17-Entry!$B$13)*Entry!$B$9*100)</f>
        <v/>
      </c>
      <c r="M17" s="99">
        <f>IF(COUNT($D$4:$D17)=0,"",SQRT(SUMSQ($D$4:$D17)/COUNT($D$4:$D17))*SQRT(252))</f>
        <v/>
      </c>
      <c r="N17" s="99">
        <f>IF(OR($M17="",Entry!$B$20=""),"",$M17-Entry!$B$20)</f>
        <v/>
      </c>
      <c r="O17" s="103" t="n">
        <v>9.130000000000001</v>
      </c>
      <c r="P17" s="104" t="n">
        <v>-117.07</v>
      </c>
      <c r="Q17" s="104" t="n">
        <v>204.83</v>
      </c>
      <c r="R17" s="105" t="n"/>
      <c r="S17" s="106" t="n">
        <v>4.94</v>
      </c>
      <c r="T17" s="106" t="n">
        <v>9.08</v>
      </c>
      <c r="U17" s="107" t="n">
        <v>-36.2</v>
      </c>
    </row>
    <row r="18" ht="15" customHeight="1" s="64">
      <c r="A18" s="96" t="n">
        <v>46280</v>
      </c>
      <c r="B18" s="97">
        <f>Entry!$B$8-$A18</f>
        <v/>
      </c>
      <c r="C18" s="98" t="n">
        <v>757.4400000000001</v>
      </c>
      <c r="D18" s="99">
        <f>IF(OR($C18="",$C17=""),"",$C18/$C17-1)</f>
        <v/>
      </c>
      <c r="E18" s="99">
        <f>IF(ISNUMBER($D18),ABS($D18),"")</f>
        <v/>
      </c>
      <c r="F18" s="99">
        <f>IF(Entry!$B$30="","",Entry!$B$30)</f>
        <v/>
      </c>
      <c r="G18" s="100">
        <f>IF(AND(ISNUMBER($E18),ISNUMBER($F18)),IF($E18&gt;$F18,"YES","no"),"")</f>
        <v/>
      </c>
      <c r="H18" s="101" t="n">
        <v>0.1326</v>
      </c>
      <c r="I18" s="101" t="n">
        <v>0.1227</v>
      </c>
      <c r="J18" s="99">
        <f>IF(COUNT($H18:$I18)=0,"",AVERAGE($H18:$I18))</f>
        <v/>
      </c>
      <c r="K18" s="98" t="n">
        <v>14.22</v>
      </c>
      <c r="L18" s="102">
        <f>IF($K18="","",($K18-Entry!$B$13)*Entry!$B$9*100)</f>
        <v/>
      </c>
      <c r="M18" s="99">
        <f>IF(COUNT($D$4:$D18)=0,"",SQRT(SUMSQ($D$4:$D18)/COUNT($D$4:$D18))*SQRT(252))</f>
        <v/>
      </c>
      <c r="N18" s="99">
        <f>IF(OR($M18="",Entry!$B$20=""),"",$M18-Entry!$B$20)</f>
        <v/>
      </c>
      <c r="O18" s="103" t="n">
        <v>8.98</v>
      </c>
      <c r="P18" s="104" t="n">
        <v>-108.07</v>
      </c>
      <c r="Q18" s="104" t="n">
        <v>179.06</v>
      </c>
      <c r="R18" s="105" t="n"/>
      <c r="S18" s="106" t="n">
        <v>3.52</v>
      </c>
      <c r="T18" s="106" t="n">
        <v>10.7</v>
      </c>
      <c r="U18" s="107" t="n">
        <v>-71.59999999999999</v>
      </c>
    </row>
    <row r="19" ht="15" customHeight="1" s="64">
      <c r="A19" s="96" t="n">
        <v>46281</v>
      </c>
      <c r="B19" s="97">
        <f>Entry!$B$8-$A19</f>
        <v/>
      </c>
      <c r="C19" s="98" t="n">
        <v>754.13</v>
      </c>
      <c r="D19" s="99">
        <f>IF(OR($C19="",$C18=""),"",$C19/$C18-1)</f>
        <v/>
      </c>
      <c r="E19" s="99">
        <f>IF(ISNUMBER($D19),ABS($D19),"")</f>
        <v/>
      </c>
      <c r="F19" s="99">
        <f>IF(Entry!$B$30="","",Entry!$B$30)</f>
        <v/>
      </c>
      <c r="G19" s="100">
        <f>IF(AND(ISNUMBER($E19),ISNUMBER($F19)),IF($E19&gt;$F19,"YES","no"),"")</f>
        <v/>
      </c>
      <c r="H19" s="101" t="n">
        <v>0.128</v>
      </c>
      <c r="I19" s="101" t="n">
        <v>0.1294</v>
      </c>
      <c r="J19" s="99">
        <f>IF(COUNT($H19:$I19)=0,"",AVERAGE($H19:$I19))</f>
        <v/>
      </c>
      <c r="K19" s="98" t="n">
        <v>15.25</v>
      </c>
      <c r="L19" s="102">
        <f>IF($K19="","",($K19-Entry!$B$13)*Entry!$B$9*100)</f>
        <v/>
      </c>
      <c r="M19" s="99">
        <f>IF(COUNT($D$4:$D19)=0,"",SQRT(SUMSQ($D$4:$D19)/COUNT($D$4:$D19))*SQRT(252))</f>
        <v/>
      </c>
      <c r="N19" s="99">
        <f>IF(OR($M19="",Entry!$B$20=""),"",$M19-Entry!$B$20)</f>
        <v/>
      </c>
      <c r="O19" s="103" t="n">
        <v>8.16</v>
      </c>
      <c r="P19" s="104" t="n">
        <v>-95.86</v>
      </c>
      <c r="Q19" s="104" t="n">
        <v>146.57</v>
      </c>
      <c r="R19" s="105" t="n"/>
      <c r="S19" s="106" t="n">
        <v>2.09</v>
      </c>
      <c r="T19" s="106" t="n">
        <v>13.16</v>
      </c>
      <c r="U19" s="107" t="n">
        <v>-104.4</v>
      </c>
    </row>
    <row r="20" ht="15" customHeight="1" s="64">
      <c r="A20" s="96" t="n">
        <v>46282</v>
      </c>
      <c r="B20" s="97">
        <f>Entry!$B$8-$A20</f>
        <v/>
      </c>
      <c r="C20" s="98" t="n">
        <v>762.6</v>
      </c>
      <c r="D20" s="99">
        <f>IF(OR($C20="",$C19=""),"",$C20/$C19-1)</f>
        <v/>
      </c>
      <c r="E20" s="99">
        <f>IF(ISNUMBER($D20),ABS($D20),"")</f>
        <v/>
      </c>
      <c r="F20" s="99">
        <f>IF(Entry!$B$30="","",Entry!$B$30)</f>
        <v/>
      </c>
      <c r="G20" s="100">
        <f>IF(AND(ISNUMBER($E20),ISNUMBER($F20)),IF($E20&gt;$F20,"YES","no"),"")</f>
        <v/>
      </c>
      <c r="H20" s="101" t="n">
        <v>0.1083</v>
      </c>
      <c r="I20" s="101" t="n">
        <v>0.1119</v>
      </c>
      <c r="J20" s="99">
        <f>IF(COUNT($H20:$I20)=0,"",AVERAGE($H20:$I20))</f>
        <v/>
      </c>
      <c r="K20" s="98" t="n">
        <v>10.13</v>
      </c>
      <c r="L20" s="102">
        <f>IF($K20="","",($K20-Entry!$B$13)*Entry!$B$9*100)</f>
        <v/>
      </c>
      <c r="M20" s="99">
        <f>IF(COUNT($D$4:$D20)=0,"",SQRT(SUMSQ($D$4:$D20)/COUNT($D$4:$D20))*SQRT(252))</f>
        <v/>
      </c>
      <c r="N20" s="99">
        <f>IF(OR($M20="",Entry!$B$20=""),"",$M20-Entry!$B$20)</f>
        <v/>
      </c>
      <c r="O20" s="103" t="n">
        <v>12.61</v>
      </c>
      <c r="P20" s="104" t="n">
        <v>-118.19</v>
      </c>
      <c r="Q20" s="104" t="n">
        <v>176.02</v>
      </c>
      <c r="R20" s="105" t="n"/>
      <c r="S20" s="106" t="n">
        <v>3.67</v>
      </c>
      <c r="T20" s="106" t="n">
        <v>6.46</v>
      </c>
      <c r="U20" s="107" t="n">
        <v>-32.3</v>
      </c>
    </row>
    <row r="21" ht="15.75" customHeight="1" s="64">
      <c r="A21" s="96" t="n">
        <v>46283</v>
      </c>
      <c r="B21" s="97">
        <f>Entry!$B$8-$A21</f>
        <v/>
      </c>
      <c r="C21" s="98" t="n">
        <v>761.54</v>
      </c>
      <c r="D21" s="99">
        <f>IF(OR($C21="",$C20=""),"",$C21/$C20-1)</f>
        <v/>
      </c>
      <c r="E21" s="99">
        <f>IF(ISNUMBER($D21),ABS($D21),"")</f>
        <v/>
      </c>
      <c r="F21" s="99">
        <f>IF(Entry!$B$30="","",Entry!$B$30)</f>
        <v/>
      </c>
      <c r="G21" s="100">
        <f>IF(AND(ISNUMBER($E21),ISNUMBER($F21)),IF($E21&gt;$F21,"YES","no"),"")</f>
        <v/>
      </c>
      <c r="H21" s="101" t="n">
        <v>0.1122</v>
      </c>
      <c r="I21" s="101" t="n">
        <v>0.08169999999999999</v>
      </c>
      <c r="J21" s="99">
        <f>IF(COUNT($H21:$I21)=0,"",AVERAGE($H21:$I21))</f>
        <v/>
      </c>
      <c r="K21" s="98" t="n">
        <v>8.31</v>
      </c>
      <c r="L21" s="102">
        <f>IF($K21="","",($K21-Entry!$B$13)*Entry!$B$9*100)</f>
        <v/>
      </c>
      <c r="M21" s="99">
        <f>IF(COUNT($D$4:$D21)=0,"",SQRT(SUMSQ($D$4:$D21)/COUNT($D$4:$D21))*SQRT(252))</f>
        <v/>
      </c>
      <c r="N21" s="99">
        <f>IF(OR($M21="",Entry!$B$20=""),"",$M21-Entry!$B$20)</f>
        <v/>
      </c>
      <c r="O21" s="103" t="n">
        <v>15.72</v>
      </c>
      <c r="P21" s="104" t="n">
        <v>-112.15</v>
      </c>
      <c r="Q21" s="104" t="n">
        <v>165.48</v>
      </c>
      <c r="R21" s="108" t="inlineStr">
        <is>
          <t>SPY ex-dividend — price step, not volatility</t>
        </is>
      </c>
      <c r="S21" s="106" t="n">
        <v>3.85</v>
      </c>
      <c r="T21" s="106" t="n">
        <v>4.46</v>
      </c>
      <c r="U21" s="107" t="n">
        <v>-28.7</v>
      </c>
    </row>
    <row r="22" ht="15.75" customHeight="1" s="64">
      <c r="A22" s="96" t="n">
        <v>46286</v>
      </c>
      <c r="B22" s="97">
        <f>Entry!$B$8-$A22</f>
        <v/>
      </c>
      <c r="C22" s="98" t="n">
        <v>773.5</v>
      </c>
      <c r="D22" s="99">
        <f>IF(OR($C22="",$C21=""),"",$C22/$C21-1)</f>
        <v/>
      </c>
      <c r="E22" s="99">
        <f>IF(ISNUMBER($D22),ABS($D22),"")</f>
        <v/>
      </c>
      <c r="F22" s="99">
        <f>IF(Entry!$B$30="","",Entry!$B$30)</f>
        <v/>
      </c>
      <c r="G22" s="100">
        <f>IF(AND(ISNUMBER($E22),ISNUMBER($F22)),IF($E22&gt;$F22,"YES","no"),"")</f>
        <v/>
      </c>
      <c r="H22" s="101" t="n">
        <v>0.1256</v>
      </c>
      <c r="I22" s="101" t="n">
        <v>0.1293</v>
      </c>
      <c r="J22" s="99">
        <f>IF(COUNT($H22:$I22)=0,"",AVERAGE($H22:$I22))</f>
        <v/>
      </c>
      <c r="K22" s="98" t="n">
        <v>11.68</v>
      </c>
      <c r="L22" s="102">
        <f>IF($K22="","",($K22-Entry!$B$13)*Entry!$B$9*100)</f>
        <v/>
      </c>
      <c r="M22" s="99">
        <f>IF(COUNT($D$4:$D22)=0,"",SQRT(SUMSQ($D$4:$D22)/COUNT($D$4:$D22))*SQRT(252))</f>
        <v/>
      </c>
      <c r="N22" s="99">
        <f>IF(OR($M22="",Entry!$B$20=""),"",$M22-Entry!$B$20)</f>
        <v/>
      </c>
      <c r="O22" s="103" t="n">
        <v>9.699999999999999</v>
      </c>
      <c r="P22" s="104" t="n">
        <v>-140.1</v>
      </c>
      <c r="Q22" s="104" t="n">
        <v>81.02</v>
      </c>
      <c r="R22" s="105" t="n"/>
      <c r="S22" s="106" t="n">
        <v>10.72</v>
      </c>
      <c r="T22" s="106" t="n">
        <v>0.96</v>
      </c>
      <c r="U22" s="107" t="n">
        <v>133.2</v>
      </c>
    </row>
    <row r="23" ht="15.75" customHeight="1" s="64">
      <c r="A23" s="96" t="n">
        <v>46287</v>
      </c>
      <c r="B23" s="97">
        <f>Entry!$B$8-$A23</f>
        <v/>
      </c>
      <c r="C23" s="98" t="n">
        <v>773.38</v>
      </c>
      <c r="D23" s="99">
        <f>IF(OR($C23="",$C22=""),"",$C23/$C22-1)</f>
        <v/>
      </c>
      <c r="E23" s="99">
        <f>IF(ISNUMBER($D23),ABS($D23),"")</f>
        <v/>
      </c>
      <c r="F23" s="99">
        <f>IF(Entry!$B$30="","",Entry!$B$30)</f>
        <v/>
      </c>
      <c r="G23" s="100">
        <f>IF(AND(ISNUMBER($E23),ISNUMBER($F23)),IF($E23&gt;$F23,"YES","no"),"")</f>
        <v/>
      </c>
      <c r="H23" s="101" t="n">
        <v>0.1433</v>
      </c>
      <c r="I23" s="101" t="n">
        <v>0.1202</v>
      </c>
      <c r="J23" s="99">
        <f>IF(COUNT($H23:$I23)=0,"",AVERAGE($H23:$I23))</f>
        <v/>
      </c>
      <c r="K23" s="98" t="n">
        <v>11.04</v>
      </c>
      <c r="L23" s="102">
        <f>IF($K23="","",($K23-Entry!$B$13)*Entry!$B$9*100)</f>
        <v/>
      </c>
      <c r="M23" s="99">
        <f>IF(COUNT($D$4:$D23)=0,"",SQRT(SUMSQ($D$4:$D23)/COUNT($D$4:$D23))*SQRT(252))</f>
        <v/>
      </c>
      <c r="N23" s="99">
        <f>IF(OR($M23="",Entry!$B$20=""),"",$M23-Entry!$B$20)</f>
        <v/>
      </c>
      <c r="O23" s="103" t="n">
        <v>9.81</v>
      </c>
      <c r="P23" s="104" t="n">
        <v>-152.62</v>
      </c>
      <c r="Q23" s="104" t="n">
        <v>63.6</v>
      </c>
      <c r="R23" s="105" t="n"/>
      <c r="S23" s="106" t="n">
        <v>10.52</v>
      </c>
      <c r="T23" s="106" t="n">
        <v>0.52</v>
      </c>
      <c r="U23" s="107" t="n">
        <v>142.1</v>
      </c>
    </row>
    <row r="24" ht="15.75" customHeight="1" s="64">
      <c r="A24" s="96" t="n">
        <v>46288</v>
      </c>
      <c r="B24" s="97">
        <f>Entry!$B$8-$A24</f>
        <v/>
      </c>
      <c r="C24" s="98" t="n">
        <v>767.83</v>
      </c>
      <c r="D24" s="99">
        <f>IF(OR($C24="",$C23=""),"",$C24/$C23-1)</f>
        <v/>
      </c>
      <c r="E24" s="99">
        <f>IF(ISNUMBER($D24),ABS($D24),"")</f>
        <v/>
      </c>
      <c r="F24" s="99">
        <f>IF(Entry!$B$30="","",Entry!$B$30)</f>
        <v/>
      </c>
      <c r="G24" s="100">
        <f>IF(AND(ISNUMBER($E24),ISNUMBER($F24)),IF($E24&gt;$F24,"YES","no"),"")</f>
        <v/>
      </c>
      <c r="H24" s="101" t="n">
        <v>0.134</v>
      </c>
      <c r="I24" s="101" t="n">
        <v>0.1278</v>
      </c>
      <c r="J24" s="99">
        <f>IF(COUNT($H24:$I24)=0,"",AVERAGE($H24:$I24))</f>
        <v/>
      </c>
      <c r="K24" s="98" t="n">
        <v>6.76</v>
      </c>
      <c r="L24" s="102">
        <f>IF($K24="","",($K24-Entry!$B$13)*Entry!$B$9*100)</f>
        <v/>
      </c>
      <c r="M24" s="99">
        <f>IF(COUNT($D$4:$D24)=0,"",SQRT(SUMSQ($D$4:$D24)/COUNT($D$4:$D24))*SQRT(252))</f>
        <v/>
      </c>
      <c r="N24" s="99">
        <f>IF(OR($M24="",Entry!$B$20=""),"",$M24-Entry!$B$20)</f>
        <v/>
      </c>
      <c r="O24" s="103" t="n">
        <v>18.51</v>
      </c>
      <c r="P24" s="104" t="n">
        <v>-262.84</v>
      </c>
      <c r="Q24" s="104" t="n">
        <v>78.23</v>
      </c>
      <c r="R24" s="105" t="n"/>
      <c r="S24" s="106" t="n">
        <v>5.44</v>
      </c>
      <c r="T24" s="106" t="n">
        <v>1.32</v>
      </c>
      <c r="U24" s="107" t="n">
        <v>82.7</v>
      </c>
    </row>
    <row r="25" ht="15.75" customHeight="1" s="64">
      <c r="A25" s="96" t="n">
        <v>46289</v>
      </c>
      <c r="B25" s="97">
        <f>Entry!$B$8-$A25</f>
        <v/>
      </c>
      <c r="C25" s="98" t="n">
        <v>767.1799999999999</v>
      </c>
      <c r="D25" s="99">
        <f>IF(OR($C25="",$C24=""),"",$C25/$C24-1)</f>
        <v/>
      </c>
      <c r="E25" s="99">
        <f>IF(ISNUMBER($D25),ABS($D25),"")</f>
        <v/>
      </c>
      <c r="F25" s="99">
        <f>IF(Entry!$B$30="","",Entry!$B$30)</f>
        <v/>
      </c>
      <c r="G25" s="100">
        <f>IF(AND(ISNUMBER($E25),ISNUMBER($F25)),IF($E25&gt;$F25,"YES","no"),"")</f>
        <v/>
      </c>
      <c r="H25" s="101" t="n">
        <v>0.1123</v>
      </c>
      <c r="I25" s="101" t="n">
        <v>0.1521</v>
      </c>
      <c r="J25" s="99">
        <f>IF(COUNT($H25:$I25)=0,"",AVERAGE($H25:$I25))</f>
        <v/>
      </c>
      <c r="K25" s="98" t="n">
        <v>5.02</v>
      </c>
      <c r="L25" s="102">
        <f>IF($K25="","",($K25-Entry!$B$13)*Entry!$B$9*100)</f>
        <v/>
      </c>
      <c r="M25" s="99">
        <f>IF(COUNT($D$4:$D25)=0,"",SQRT(SUMSQ($D$4:$D25)/COUNT($D$4:$D25))*SQRT(252))</f>
        <v/>
      </c>
      <c r="N25" s="99">
        <f>IF(OR($M25="",Entry!$B$20=""),"",$M25-Entry!$B$20)</f>
        <v/>
      </c>
      <c r="O25" s="103" t="n">
        <v>24.87</v>
      </c>
      <c r="P25" s="104" t="n">
        <v>-356.54</v>
      </c>
      <c r="Q25" s="104" t="n">
        <v>52.28</v>
      </c>
      <c r="R25" s="105" t="n"/>
      <c r="S25" s="106" t="n">
        <v>3.88</v>
      </c>
      <c r="T25" s="106" t="n">
        <v>1.14</v>
      </c>
      <c r="U25" s="107" t="n">
        <v>94.40000000000001</v>
      </c>
    </row>
    <row r="26" ht="15.75" customHeight="1" s="64">
      <c r="A26" s="96" t="n">
        <v>46290</v>
      </c>
      <c r="B26" s="97">
        <f>Entry!$B$8-$A26</f>
        <v/>
      </c>
      <c r="C26" s="98" t="n"/>
      <c r="D26" s="99">
        <f>IF(OR($C26="",$C25=""),"",$C26/$C25-1)</f>
        <v/>
      </c>
      <c r="E26" s="99">
        <f>IF(ISNUMBER($D26),ABS($D26),"")</f>
        <v/>
      </c>
      <c r="F26" s="99">
        <f>IF(Entry!$B$30="","",Entry!$B$30)</f>
        <v/>
      </c>
      <c r="G26" s="100">
        <f>IF(AND(ISNUMBER($E26),ISNUMBER($F26)),IF($E26&gt;$F26,"YES","no"),"")</f>
        <v/>
      </c>
      <c r="H26" s="101" t="n"/>
      <c r="I26" s="101" t="n"/>
      <c r="J26" s="99">
        <f>IF(COUNT($H26:$I26)=0,"",AVERAGE($H26:$I26))</f>
        <v/>
      </c>
      <c r="K26" s="98" t="n"/>
      <c r="L26" s="102">
        <f>IF($K26="","",($K26-Entry!$B$13)*Entry!$B$9*100)</f>
        <v/>
      </c>
      <c r="M26" s="99">
        <f>IF(COUNT($D$4:$D26)=0,"",SQRT(SUMSQ($D$4:$D26)/COUNT($D$4:$D26))*SQRT(252))</f>
        <v/>
      </c>
      <c r="N26" s="99">
        <f>IF(OR($M26="",Entry!$B$20=""),"",$M26-Entry!$B$20)</f>
        <v/>
      </c>
      <c r="O26" s="103" t="n"/>
      <c r="P26" s="104" t="n"/>
      <c r="Q26" s="104" t="n"/>
      <c r="R26" s="109" t="inlineStr">
        <is>
          <t>EXPIRATION</t>
        </is>
      </c>
      <c r="S26" s="106" t="n"/>
      <c r="T26" s="106" t="n"/>
      <c r="U26" s="107" t="n"/>
    </row>
    <row r="27" ht="15.75" customHeight="1" s="64"/>
    <row r="28" ht="15.75" customHeight="1" s="64">
      <c r="A28" s="67" t="inlineStr">
        <is>
          <t>SUMMARY</t>
        </is>
      </c>
      <c r="B28" s="68" t="n"/>
      <c r="C28" s="68" t="n"/>
      <c r="D28" s="68" t="n"/>
    </row>
    <row r="29" ht="15.75" customHeight="1" s="64">
      <c r="A29" s="69" t="inlineStr">
        <is>
          <t>Days logged</t>
        </is>
      </c>
      <c r="B29" s="110">
        <f>COUNT($D$4:$D$26)</f>
        <v/>
      </c>
    </row>
    <row r="30" ht="15.75" customHeight="1" s="64">
      <c r="A30" s="69" t="inlineStr">
        <is>
          <t>Days above the bar</t>
        </is>
      </c>
      <c r="B30" s="110">
        <f>COUNTIF($G$4:$G$26,"YES")</f>
        <v/>
      </c>
    </row>
    <row r="31" ht="15.75" customHeight="1" s="64">
      <c r="A31" s="69" t="inlineStr">
        <is>
          <t>Hit rate</t>
        </is>
      </c>
      <c r="B31" s="111">
        <f>IF(COUNT($D$4:$D$26)=0,"",COUNTIF($G$4:$G$26,"YES")/COUNT($D$4:$D$26))</f>
        <v/>
      </c>
    </row>
    <row r="32" ht="15.75" customHeight="1" s="64">
      <c r="A32" s="69" t="inlineStr">
        <is>
          <t>Realized vol to date (ann)</t>
        </is>
      </c>
      <c r="B32" s="111">
        <f>IF(COUNT($D$4:$D$26)=0,"",SQRT(SUMSQ($D$4:$D$26)/COUNT($D$4:$D$26))*SQRT(252))</f>
        <v/>
      </c>
    </row>
    <row r="33" ht="15.75" customHeight="1" s="64">
      <c r="A33" s="69" t="inlineStr">
        <is>
          <t>Implied vol paid at entry</t>
        </is>
      </c>
      <c r="B33" s="111">
        <f>IF(Entry!$B$20="","",Entry!$B$20)</f>
        <v/>
      </c>
    </row>
    <row r="34" ht="15.75" customHeight="1" s="64">
      <c r="A34" s="69" t="inlineStr">
        <is>
          <t>Realized − Implied</t>
        </is>
      </c>
      <c r="B34" s="111">
        <f>IF(OR($B32="",$B33=""),"",$B32-$B33)</f>
        <v/>
      </c>
    </row>
    <row r="35" ht="15.75" customHeight="1" s="64">
      <c r="A35" s="69" t="inlineStr">
        <is>
          <t>Latest mark-to-market P&amp;L</t>
        </is>
      </c>
      <c r="B35" s="112">
        <f>IFERROR(LOOKUP(9.99E+307,$L$4:$L$26),"")</f>
        <v/>
      </c>
    </row>
    <row r="36" ht="15.75" customHeight="1" s="64"/>
    <row r="37" ht="15.75" customHeight="1" s="64">
      <c r="A37" s="113" t="inlineStr">
        <is>
          <t>Note: 'Realized − Implied' and mark-to-market P&amp;L will not agree day to day. Vega moves the P&amp;L independently of realized movement. Where they diverge is the interesting part — log why in Notes.</t>
        </is>
      </c>
    </row>
    <row r="38" ht="15.75" customHeight="1" s="64"/>
    <row r="39" ht="15.75" customHeight="1" s="64">
      <c r="A39" s="114" t="inlineStr">
        <is>
          <t>EXAMPLE ROW — format reference only, not part of the log. Do not edit.</t>
        </is>
      </c>
    </row>
    <row r="40" ht="15.75" customHeight="1" s="64">
      <c r="A40" s="115" t="n">
        <v>46259</v>
      </c>
      <c r="B40" s="116" t="n">
        <v>31</v>
      </c>
      <c r="C40" s="117" t="n">
        <v>769.1</v>
      </c>
      <c r="D40" s="118" t="n">
        <v>0.0031</v>
      </c>
      <c r="E40" s="118" t="n">
        <v>0.0031</v>
      </c>
      <c r="F40" s="118" t="n">
        <v>0.0081</v>
      </c>
      <c r="G40" s="119" t="inlineStr">
        <is>
          <t>no</t>
        </is>
      </c>
      <c r="H40" s="118" t="n">
        <v>0.1265</v>
      </c>
      <c r="I40" s="118" t="n">
        <v>0.1265</v>
      </c>
      <c r="J40" s="118" t="n">
        <v>0.1265</v>
      </c>
      <c r="K40" s="117" t="n">
        <v>22.9</v>
      </c>
      <c r="L40" s="120" t="n">
        <v>-1260</v>
      </c>
      <c r="M40" s="118" t="n">
        <v>0.0492</v>
      </c>
      <c r="N40" s="118" t="n">
        <v>-0.0788</v>
      </c>
      <c r="O40" s="121" t="n"/>
      <c r="P40" s="121" t="n"/>
      <c r="Q40" s="121" t="n"/>
      <c r="R40" s="121" t="inlineStr">
        <is>
          <t>quiet tape, theta day</t>
        </is>
      </c>
    </row>
    <row r="41" ht="15.75" customHeight="1" s="64"/>
    <row r="42" ht="15.75" customHeight="1" s="64"/>
    <row r="43" ht="15.75" customHeight="1" s="64"/>
    <row r="44" ht="15.75" customHeight="1" s="64"/>
    <row r="45" ht="15.75" customHeight="1" s="64"/>
    <row r="46" ht="15.75" customHeight="1" s="64"/>
    <row r="47" ht="15.75" customHeight="1" s="64"/>
    <row r="48" ht="15.75" customHeight="1" s="64"/>
    <row r="49" ht="15.75" customHeight="1" s="64"/>
    <row r="50" ht="15.75" customHeight="1" s="64"/>
    <row r="51" ht="15.75" customHeight="1" s="64"/>
    <row r="52" ht="15.75" customHeight="1" s="64"/>
    <row r="53" ht="15.75" customHeight="1" s="64"/>
    <row r="54" ht="15.75" customHeight="1" s="64"/>
    <row r="55" ht="15.75" customHeight="1" s="64"/>
    <row r="56" ht="15.75" customHeight="1" s="64"/>
    <row r="57" ht="15.75" customHeight="1" s="64"/>
    <row r="58" ht="15.75" customHeight="1" s="64"/>
    <row r="59" ht="15.75" customHeight="1" s="64"/>
    <row r="60" ht="15.75" customHeight="1" s="64"/>
    <row r="61" ht="15.75" customHeight="1" s="64"/>
    <row r="62" ht="15.75" customHeight="1" s="64"/>
    <row r="63" ht="15.75" customHeight="1" s="64"/>
    <row r="64" ht="15.75" customHeight="1" s="64"/>
    <row r="65" ht="15.75" customHeight="1" s="64"/>
    <row r="66" ht="15.75" customHeight="1" s="64"/>
    <row r="67" ht="15.75" customHeight="1" s="64"/>
    <row r="68" ht="15.75" customHeight="1" s="64"/>
    <row r="69" ht="15.75" customHeight="1" s="64"/>
    <row r="70" ht="15.75" customHeight="1" s="64"/>
    <row r="71" ht="15.75" customHeight="1" s="64"/>
    <row r="72" ht="15.75" customHeight="1" s="64"/>
    <row r="73" ht="15.75" customHeight="1" s="64"/>
    <row r="74" ht="15.75" customHeight="1" s="64"/>
    <row r="75" ht="15.75" customHeight="1" s="64"/>
    <row r="76" ht="15.75" customHeight="1" s="64"/>
    <row r="77" ht="15.75" customHeight="1" s="64"/>
    <row r="78" ht="15.75" customHeight="1" s="64"/>
    <row r="79" ht="15.75" customHeight="1" s="64"/>
    <row r="80" ht="15.75" customHeight="1" s="64"/>
    <row r="81" ht="15.75" customHeight="1" s="64"/>
    <row r="82" ht="15.75" customHeight="1" s="64"/>
    <row r="83" ht="15.75" customHeight="1" s="64"/>
    <row r="84" ht="15.75" customHeight="1" s="64"/>
    <row r="85" ht="15.75" customHeight="1" s="64"/>
    <row r="86" ht="15.75" customHeight="1" s="64"/>
    <row r="87" ht="15.75" customHeight="1" s="64"/>
    <row r="88" ht="15.75" customHeight="1" s="64"/>
    <row r="89" ht="15.75" customHeight="1" s="64"/>
    <row r="90" ht="15.75" customHeight="1" s="64"/>
    <row r="91" ht="15.75" customHeight="1" s="64"/>
    <row r="92" ht="15.75" customHeight="1" s="64"/>
    <row r="93" ht="15.75" customHeight="1" s="64"/>
    <row r="94" ht="15.75" customHeight="1" s="64"/>
    <row r="95" ht="15.75" customHeight="1" s="64"/>
    <row r="96" ht="15.75" customHeight="1" s="64"/>
    <row r="97" ht="15.75" customHeight="1" s="64"/>
    <row r="98" ht="15.75" customHeight="1" s="64"/>
    <row r="99" ht="15.75" customHeight="1" s="64"/>
    <row r="100" ht="15.75" customHeight="1" s="64"/>
    <row r="101" ht="15.75" customHeight="1" s="64"/>
    <row r="102" ht="15.75" customHeight="1" s="64"/>
    <row r="103" ht="15.75" customHeight="1" s="64"/>
    <row r="104" ht="15.75" customHeight="1" s="64"/>
    <row r="105" ht="15.75" customHeight="1" s="64"/>
    <row r="106" ht="15.75" customHeight="1" s="64"/>
    <row r="107" ht="15.75" customHeight="1" s="64"/>
    <row r="108" ht="15.75" customHeight="1" s="64"/>
    <row r="109" ht="15.75" customHeight="1" s="64"/>
    <row r="110" ht="15.75" customHeight="1" s="64"/>
    <row r="111" ht="15.75" customHeight="1" s="64"/>
    <row r="112" ht="15.75" customHeight="1" s="64"/>
    <row r="113" ht="15.75" customHeight="1" s="64"/>
    <row r="114" ht="15.75" customHeight="1" s="64"/>
    <row r="115" ht="15.75" customHeight="1" s="64"/>
    <row r="116" ht="15.75" customHeight="1" s="64"/>
    <row r="117" ht="15.75" customHeight="1" s="64"/>
    <row r="118" ht="15.75" customHeight="1" s="64"/>
    <row r="119" ht="15.75" customHeight="1" s="64"/>
    <row r="120" ht="15.75" customHeight="1" s="64"/>
    <row r="121" ht="15.75" customHeight="1" s="64"/>
    <row r="122" ht="15.75" customHeight="1" s="64"/>
    <row r="123" ht="15.75" customHeight="1" s="64"/>
    <row r="124" ht="15.75" customHeight="1" s="64"/>
    <row r="125" ht="15.75" customHeight="1" s="64"/>
    <row r="126" ht="15.75" customHeight="1" s="64"/>
    <row r="127" ht="15.75" customHeight="1" s="64"/>
    <row r="128" ht="15.75" customHeight="1" s="64"/>
    <row r="129" ht="15.75" customHeight="1" s="64"/>
    <row r="130" ht="15.75" customHeight="1" s="64"/>
    <row r="131" ht="15.75" customHeight="1" s="64"/>
    <row r="132" ht="15.75" customHeight="1" s="64"/>
    <row r="133" ht="15.75" customHeight="1" s="64"/>
    <row r="134" ht="15.75" customHeight="1" s="64"/>
    <row r="135" ht="15.75" customHeight="1" s="64"/>
    <row r="136" ht="15.75" customHeight="1" s="64"/>
    <row r="137" ht="15.75" customHeight="1" s="64"/>
    <row r="138" ht="15.75" customHeight="1" s="64"/>
    <row r="139" ht="15.75" customHeight="1" s="64"/>
    <row r="140" ht="15.75" customHeight="1" s="64"/>
    <row r="141" ht="15.75" customHeight="1" s="64"/>
    <row r="142" ht="15.75" customHeight="1" s="64"/>
    <row r="143" ht="15.75" customHeight="1" s="64"/>
    <row r="144" ht="15.75" customHeight="1" s="64"/>
    <row r="145" ht="15.75" customHeight="1" s="64"/>
    <row r="146" ht="15.75" customHeight="1" s="64"/>
    <row r="147" ht="15.75" customHeight="1" s="64"/>
    <row r="148" ht="15.75" customHeight="1" s="64"/>
    <row r="149" ht="15.75" customHeight="1" s="64"/>
    <row r="150" ht="15.75" customHeight="1" s="64"/>
    <row r="151" ht="15.75" customHeight="1" s="64"/>
    <row r="152" ht="15.75" customHeight="1" s="64"/>
    <row r="153" ht="15.75" customHeight="1" s="64"/>
    <row r="154" ht="15.75" customHeight="1" s="64"/>
    <row r="155" ht="15.75" customHeight="1" s="64"/>
    <row r="156" ht="15.75" customHeight="1" s="64"/>
    <row r="157" ht="15.75" customHeight="1" s="64"/>
    <row r="158" ht="15.75" customHeight="1" s="64"/>
    <row r="159" ht="15.75" customHeight="1" s="64"/>
    <row r="160" ht="15.75" customHeight="1" s="64"/>
    <row r="161" ht="15.75" customHeight="1" s="64"/>
    <row r="162" ht="15.75" customHeight="1" s="64"/>
    <row r="163" ht="15.75" customHeight="1" s="64"/>
    <row r="164" ht="15.75" customHeight="1" s="64"/>
    <row r="165" ht="15.75" customHeight="1" s="64"/>
    <row r="166" ht="15.75" customHeight="1" s="64"/>
    <row r="167" ht="15.75" customHeight="1" s="64"/>
    <row r="168" ht="15.75" customHeight="1" s="64"/>
    <row r="169" ht="15.75" customHeight="1" s="64"/>
    <row r="170" ht="15.75" customHeight="1" s="64"/>
    <row r="171" ht="15.75" customHeight="1" s="64"/>
    <row r="172" ht="15.75" customHeight="1" s="64"/>
    <row r="173" ht="15.75" customHeight="1" s="64"/>
    <row r="174" ht="15.75" customHeight="1" s="64"/>
    <row r="175" ht="15.75" customHeight="1" s="64"/>
    <row r="176" ht="15.75" customHeight="1" s="64"/>
    <row r="177" ht="15.75" customHeight="1" s="64"/>
    <row r="178" ht="15.75" customHeight="1" s="64"/>
    <row r="179" ht="15.75" customHeight="1" s="64"/>
    <row r="180" ht="15.75" customHeight="1" s="64"/>
    <row r="181" ht="15.75" customHeight="1" s="64"/>
    <row r="182" ht="15.75" customHeight="1" s="64"/>
    <row r="183" ht="15.75" customHeight="1" s="64"/>
    <row r="184" ht="15.75" customHeight="1" s="64"/>
    <row r="185" ht="15.75" customHeight="1" s="64"/>
    <row r="186" ht="15.75" customHeight="1" s="64"/>
    <row r="187" ht="15.75" customHeight="1" s="64"/>
    <row r="188" ht="15.75" customHeight="1" s="64"/>
    <row r="189" ht="15.75" customHeight="1" s="64"/>
    <row r="190" ht="15.75" customHeight="1" s="64"/>
    <row r="191" ht="15.75" customHeight="1" s="64"/>
    <row r="192" ht="15.75" customHeight="1" s="64"/>
    <row r="193" ht="15.75" customHeight="1" s="64"/>
    <row r="194" ht="15.75" customHeight="1" s="64"/>
    <row r="195" ht="15.75" customHeight="1" s="64"/>
    <row r="196" ht="15.75" customHeight="1" s="64"/>
    <row r="197" ht="15.75" customHeight="1" s="64"/>
    <row r="198" ht="15.75" customHeight="1" s="64"/>
    <row r="199" ht="15.75" customHeight="1" s="64"/>
    <row r="200" ht="15.75" customHeight="1" s="64"/>
    <row r="201" ht="15.75" customHeight="1" s="64"/>
    <row r="202" ht="15.75" customHeight="1" s="64"/>
    <row r="203" ht="15.75" customHeight="1" s="64"/>
    <row r="204" ht="15.75" customHeight="1" s="64"/>
    <row r="205" ht="15.75" customHeight="1" s="64"/>
    <row r="206" ht="15.75" customHeight="1" s="64"/>
    <row r="207" ht="15.75" customHeight="1" s="64"/>
    <row r="208" ht="15.75" customHeight="1" s="64"/>
    <row r="209" ht="15.75" customHeight="1" s="64"/>
    <row r="210" ht="15.75" customHeight="1" s="64"/>
    <row r="211" ht="15.75" customHeight="1" s="64"/>
    <row r="212" ht="15.75" customHeight="1" s="64"/>
    <row r="213" ht="15.75" customHeight="1" s="64"/>
    <row r="214" ht="15.75" customHeight="1" s="64"/>
    <row r="215" ht="15.75" customHeight="1" s="64"/>
    <row r="216" ht="15.75" customHeight="1" s="64"/>
    <row r="217" ht="15.75" customHeight="1" s="64"/>
    <row r="218" ht="15.75" customHeight="1" s="64"/>
    <row r="219" ht="15.75" customHeight="1" s="64"/>
    <row r="220" ht="15.75" customHeight="1" s="64"/>
    <row r="221" ht="15.75" customHeight="1" s="64"/>
    <row r="222" ht="15.75" customHeight="1" s="64"/>
    <row r="223" ht="15.75" customHeight="1" s="64"/>
    <row r="224" ht="15.75" customHeight="1" s="64"/>
    <row r="225" ht="15.75" customHeight="1" s="64"/>
    <row r="226" ht="15.75" customHeight="1" s="64"/>
    <row r="227" ht="15.75" customHeight="1" s="64"/>
    <row r="228" ht="15.75" customHeight="1" s="64"/>
    <row r="229" ht="15.75" customHeight="1" s="64"/>
    <row r="230" ht="15.75" customHeight="1" s="64"/>
    <row r="231" ht="15.75" customHeight="1" s="64"/>
    <row r="232" ht="15.75" customHeight="1" s="64"/>
    <row r="233" ht="15.75" customHeight="1" s="64"/>
    <row r="234" ht="15.75" customHeight="1" s="64"/>
    <row r="235" ht="15.75" customHeight="1" s="64"/>
    <row r="236" ht="15.75" customHeight="1" s="64"/>
    <row r="237" ht="15.75" customHeight="1" s="64"/>
    <row r="238" ht="15.75" customHeight="1" s="64"/>
    <row r="239" ht="15.75" customHeight="1" s="64"/>
    <row r="240" ht="15.75" customHeight="1" s="64"/>
    <row r="241" ht="15.75" customHeight="1" s="64"/>
    <row r="242" ht="15.75" customHeight="1" s="64"/>
    <row r="243" ht="15.75" customHeight="1" s="64"/>
    <row r="244" ht="15.75" customHeight="1" s="64"/>
    <row r="245" ht="15.75" customHeight="1" s="64"/>
    <row r="246" ht="15.75" customHeight="1" s="64"/>
    <row r="247" ht="15.75" customHeight="1" s="64"/>
    <row r="248" ht="15.75" customHeight="1" s="64"/>
    <row r="249" ht="15.75" customHeight="1" s="64"/>
    <row r="250" ht="15.75" customHeight="1" s="64"/>
    <row r="251" ht="15.75" customHeight="1" s="64"/>
    <row r="252" ht="15.75" customHeight="1" s="64"/>
    <row r="253" ht="15.75" customHeight="1" s="64"/>
    <row r="254" ht="15.75" customHeight="1" s="64"/>
    <row r="255" ht="15.75" customHeight="1" s="64"/>
    <row r="256" ht="15.75" customHeight="1" s="64"/>
    <row r="257" ht="15.75" customHeight="1" s="64"/>
    <row r="258" ht="15.75" customHeight="1" s="64"/>
    <row r="259" ht="15.75" customHeight="1" s="64"/>
    <row r="260" ht="15.75" customHeight="1" s="64"/>
    <row r="261" ht="15.75" customHeight="1" s="64"/>
    <row r="262" ht="15.75" customHeight="1" s="64"/>
    <row r="263" ht="15.75" customHeight="1" s="64"/>
    <row r="264" ht="15.75" customHeight="1" s="64"/>
    <row r="265" ht="15.75" customHeight="1" s="64"/>
    <row r="266" ht="15.75" customHeight="1" s="64"/>
    <row r="267" ht="15.75" customHeight="1" s="64"/>
    <row r="268" ht="15.75" customHeight="1" s="64"/>
    <row r="269" ht="15.75" customHeight="1" s="64"/>
    <row r="270" ht="15.75" customHeight="1" s="64"/>
    <row r="271" ht="15.75" customHeight="1" s="64"/>
    <row r="272" ht="15.75" customHeight="1" s="64"/>
    <row r="273" ht="15.75" customHeight="1" s="64"/>
    <row r="274" ht="15.75" customHeight="1" s="64"/>
    <row r="275" ht="15.75" customHeight="1" s="64"/>
    <row r="276" ht="15.75" customHeight="1" s="64"/>
    <row r="277" ht="15.75" customHeight="1" s="64"/>
    <row r="278" ht="15.75" customHeight="1" s="64"/>
    <row r="279" ht="15.75" customHeight="1" s="64"/>
    <row r="280" ht="15.75" customHeight="1" s="64"/>
    <row r="281" ht="15.75" customHeight="1" s="64"/>
    <row r="282" ht="15.75" customHeight="1" s="64"/>
    <row r="283" ht="15.75" customHeight="1" s="64"/>
    <row r="284" ht="15.75" customHeight="1" s="64"/>
    <row r="285" ht="15.75" customHeight="1" s="64"/>
    <row r="286" ht="15.75" customHeight="1" s="64"/>
    <row r="287" ht="15.75" customHeight="1" s="64"/>
    <row r="288" ht="15.75" customHeight="1" s="64"/>
    <row r="289" ht="15.75" customHeight="1" s="64"/>
    <row r="290" ht="15.75" customHeight="1" s="64"/>
    <row r="291" ht="15.75" customHeight="1" s="64"/>
    <row r="292" ht="15.75" customHeight="1" s="64"/>
    <row r="293" ht="15.75" customHeight="1" s="64"/>
    <row r="294" ht="15.75" customHeight="1" s="64"/>
    <row r="295" ht="15.75" customHeight="1" s="64"/>
    <row r="296" ht="15.75" customHeight="1" s="64"/>
    <row r="297" ht="15.75" customHeight="1" s="64"/>
    <row r="298" ht="15.75" customHeight="1" s="64"/>
    <row r="299" ht="15.75" customHeight="1" s="64"/>
    <row r="300" ht="15.75" customHeight="1" s="64"/>
    <row r="301" ht="15.75" customHeight="1" s="64"/>
    <row r="302" ht="15.75" customHeight="1" s="64"/>
    <row r="303" ht="15.75" customHeight="1" s="64"/>
    <row r="304" ht="15.75" customHeight="1" s="64"/>
    <row r="305" ht="15.75" customHeight="1" s="64"/>
    <row r="306" ht="15.75" customHeight="1" s="64"/>
    <row r="307" ht="15.75" customHeight="1" s="64"/>
    <row r="308" ht="15.75" customHeight="1" s="64"/>
    <row r="309" ht="15.75" customHeight="1" s="64"/>
    <row r="310" ht="15.75" customHeight="1" s="64"/>
    <row r="311" ht="15.75" customHeight="1" s="64"/>
    <row r="312" ht="15.75" customHeight="1" s="64"/>
    <row r="313" ht="15.75" customHeight="1" s="64"/>
    <row r="314" ht="15.75" customHeight="1" s="64"/>
    <row r="315" ht="15.75" customHeight="1" s="64"/>
    <row r="316" ht="15.75" customHeight="1" s="64"/>
    <row r="317" ht="15.75" customHeight="1" s="64"/>
    <row r="318" ht="15.75" customHeight="1" s="64"/>
    <row r="319" ht="15.75" customHeight="1" s="64"/>
    <row r="320" ht="15.75" customHeight="1" s="64"/>
    <row r="321" ht="15.75" customHeight="1" s="64"/>
    <row r="322" ht="15.75" customHeight="1" s="64"/>
    <row r="323" ht="15.75" customHeight="1" s="64"/>
    <row r="324" ht="15.75" customHeight="1" s="64"/>
    <row r="325" ht="15.75" customHeight="1" s="64"/>
    <row r="326" ht="15.75" customHeight="1" s="64"/>
    <row r="327" ht="15.75" customHeight="1" s="64"/>
    <row r="328" ht="15.75" customHeight="1" s="64"/>
    <row r="329" ht="15.75" customHeight="1" s="64"/>
    <row r="330" ht="15.75" customHeight="1" s="64"/>
    <row r="331" ht="15.75" customHeight="1" s="64"/>
    <row r="332" ht="15.75" customHeight="1" s="64"/>
    <row r="333" ht="15.75" customHeight="1" s="64"/>
    <row r="334" ht="15.75" customHeight="1" s="64"/>
    <row r="335" ht="15.75" customHeight="1" s="64"/>
    <row r="336" ht="15.75" customHeight="1" s="64"/>
    <row r="337" ht="15.75" customHeight="1" s="64"/>
    <row r="338" ht="15.75" customHeight="1" s="64"/>
    <row r="339" ht="15.75" customHeight="1" s="64"/>
    <row r="340" ht="15.75" customHeight="1" s="64"/>
    <row r="341" ht="15.75" customHeight="1" s="64"/>
    <row r="342" ht="15.75" customHeight="1" s="64"/>
    <row r="343" ht="15.75" customHeight="1" s="64"/>
    <row r="344" ht="15.75" customHeight="1" s="64"/>
    <row r="345" ht="15.75" customHeight="1" s="64"/>
    <row r="346" ht="15.75" customHeight="1" s="64"/>
    <row r="347" ht="15.75" customHeight="1" s="64"/>
    <row r="348" ht="15.75" customHeight="1" s="64"/>
    <row r="349" ht="15.75" customHeight="1" s="64"/>
    <row r="350" ht="15.75" customHeight="1" s="64"/>
    <row r="351" ht="15.75" customHeight="1" s="64"/>
    <row r="352" ht="15.75" customHeight="1" s="64"/>
    <row r="353" ht="15.75" customHeight="1" s="64"/>
    <row r="354" ht="15.75" customHeight="1" s="64"/>
    <row r="355" ht="15.75" customHeight="1" s="64"/>
    <row r="356" ht="15.75" customHeight="1" s="64"/>
    <row r="357" ht="15.75" customHeight="1" s="64"/>
    <row r="358" ht="15.75" customHeight="1" s="64"/>
    <row r="359" ht="15.75" customHeight="1" s="64"/>
    <row r="360" ht="15.75" customHeight="1" s="64"/>
    <row r="361" ht="15.75" customHeight="1" s="64"/>
    <row r="362" ht="15.75" customHeight="1" s="64"/>
    <row r="363" ht="15.75" customHeight="1" s="64"/>
    <row r="364" ht="15.75" customHeight="1" s="64"/>
    <row r="365" ht="15.75" customHeight="1" s="64"/>
    <row r="366" ht="15.75" customHeight="1" s="64"/>
    <row r="367" ht="15.75" customHeight="1" s="64"/>
    <row r="368" ht="15.75" customHeight="1" s="64"/>
    <row r="369" ht="15.75" customHeight="1" s="64"/>
    <row r="370" ht="15.75" customHeight="1" s="64"/>
    <row r="371" ht="15.75" customHeight="1" s="64"/>
    <row r="372" ht="15.75" customHeight="1" s="64"/>
    <row r="373" ht="15.75" customHeight="1" s="64"/>
    <row r="374" ht="15.75" customHeight="1" s="64"/>
    <row r="375" ht="15.75" customHeight="1" s="64"/>
    <row r="376" ht="15.75" customHeight="1" s="64"/>
    <row r="377" ht="15.75" customHeight="1" s="64"/>
    <row r="378" ht="15.75" customHeight="1" s="64"/>
    <row r="379" ht="15.75" customHeight="1" s="64"/>
    <row r="380" ht="15.75" customHeight="1" s="64"/>
    <row r="381" ht="15.75" customHeight="1" s="64"/>
    <row r="382" ht="15.75" customHeight="1" s="64"/>
    <row r="383" ht="15.75" customHeight="1" s="64"/>
    <row r="384" ht="15.75" customHeight="1" s="64"/>
    <row r="385" ht="15.75" customHeight="1" s="64"/>
    <row r="386" ht="15.75" customHeight="1" s="64"/>
    <row r="387" ht="15.75" customHeight="1" s="64"/>
    <row r="388" ht="15.75" customHeight="1" s="64"/>
    <row r="389" ht="15.75" customHeight="1" s="64"/>
    <row r="390" ht="15.75" customHeight="1" s="64"/>
    <row r="391" ht="15.75" customHeight="1" s="64"/>
    <row r="392" ht="15.75" customHeight="1" s="64"/>
    <row r="393" ht="15.75" customHeight="1" s="64"/>
    <row r="394" ht="15.75" customHeight="1" s="64"/>
    <row r="395" ht="15.75" customHeight="1" s="64"/>
    <row r="396" ht="15.75" customHeight="1" s="64"/>
    <row r="397" ht="15.75" customHeight="1" s="64"/>
    <row r="398" ht="15.75" customHeight="1" s="64"/>
    <row r="399" ht="15.75" customHeight="1" s="64"/>
    <row r="400" ht="15.75" customHeight="1" s="64"/>
    <row r="401" ht="15.75" customHeight="1" s="64"/>
    <row r="402" ht="15.75" customHeight="1" s="64"/>
    <row r="403" ht="15.75" customHeight="1" s="64"/>
    <row r="404" ht="15.75" customHeight="1" s="64"/>
    <row r="405" ht="15.75" customHeight="1" s="64"/>
    <row r="406" ht="15.75" customHeight="1" s="64"/>
    <row r="407" ht="15.75" customHeight="1" s="64"/>
    <row r="408" ht="15.75" customHeight="1" s="64"/>
    <row r="409" ht="15.75" customHeight="1" s="64"/>
    <row r="410" ht="15.75" customHeight="1" s="64"/>
    <row r="411" ht="15.75" customHeight="1" s="64"/>
    <row r="412" ht="15.75" customHeight="1" s="64"/>
    <row r="413" ht="15.75" customHeight="1" s="64"/>
    <row r="414" ht="15.75" customHeight="1" s="64"/>
    <row r="415" ht="15.75" customHeight="1" s="64"/>
    <row r="416" ht="15.75" customHeight="1" s="64"/>
    <row r="417" ht="15.75" customHeight="1" s="64"/>
    <row r="418" ht="15.75" customHeight="1" s="64"/>
    <row r="419" ht="15.75" customHeight="1" s="64"/>
    <row r="420" ht="15.75" customHeight="1" s="64"/>
    <row r="421" ht="15.75" customHeight="1" s="64"/>
    <row r="422" ht="15.75" customHeight="1" s="64"/>
    <row r="423" ht="15.75" customHeight="1" s="64"/>
    <row r="424" ht="15.75" customHeight="1" s="64"/>
    <row r="425" ht="15.75" customHeight="1" s="64"/>
    <row r="426" ht="15.75" customHeight="1" s="64"/>
    <row r="427" ht="15.75" customHeight="1" s="64"/>
    <row r="428" ht="15.75" customHeight="1" s="64"/>
    <row r="429" ht="15.75" customHeight="1" s="64"/>
    <row r="430" ht="15.75" customHeight="1" s="64"/>
    <row r="431" ht="15.75" customHeight="1" s="64"/>
    <row r="432" ht="15.75" customHeight="1" s="64"/>
    <row r="433" ht="15.75" customHeight="1" s="64"/>
    <row r="434" ht="15.75" customHeight="1" s="64"/>
    <row r="435" ht="15.75" customHeight="1" s="64"/>
    <row r="436" ht="15.75" customHeight="1" s="64"/>
    <row r="437" ht="15.75" customHeight="1" s="64"/>
    <row r="438" ht="15.75" customHeight="1" s="64"/>
    <row r="439" ht="15.75" customHeight="1" s="64"/>
    <row r="440" ht="15.75" customHeight="1" s="64"/>
    <row r="441" ht="15.75" customHeight="1" s="64"/>
    <row r="442" ht="15.75" customHeight="1" s="64"/>
    <row r="443" ht="15.75" customHeight="1" s="64"/>
    <row r="444" ht="15.75" customHeight="1" s="64"/>
    <row r="445" ht="15.75" customHeight="1" s="64"/>
    <row r="446" ht="15.75" customHeight="1" s="64"/>
    <row r="447" ht="15.75" customHeight="1" s="64"/>
    <row r="448" ht="15.75" customHeight="1" s="64"/>
    <row r="449" ht="15.75" customHeight="1" s="64"/>
    <row r="450" ht="15.75" customHeight="1" s="64"/>
    <row r="451" ht="15.75" customHeight="1" s="64"/>
    <row r="452" ht="15.75" customHeight="1" s="64"/>
    <row r="453" ht="15.75" customHeight="1" s="64"/>
    <row r="454" ht="15.75" customHeight="1" s="64"/>
    <row r="455" ht="15.75" customHeight="1" s="64"/>
    <row r="456" ht="15.75" customHeight="1" s="64"/>
    <row r="457" ht="15.75" customHeight="1" s="64"/>
    <row r="458" ht="15.75" customHeight="1" s="64"/>
    <row r="459" ht="15.75" customHeight="1" s="64"/>
    <row r="460" ht="15.75" customHeight="1" s="64"/>
    <row r="461" ht="15.75" customHeight="1" s="64"/>
    <row r="462" ht="15.75" customHeight="1" s="64"/>
    <row r="463" ht="15.75" customHeight="1" s="64"/>
    <row r="464" ht="15.75" customHeight="1" s="64"/>
    <row r="465" ht="15.75" customHeight="1" s="64"/>
    <row r="466" ht="15.75" customHeight="1" s="64"/>
    <row r="467" ht="15.75" customHeight="1" s="64"/>
    <row r="468" ht="15.75" customHeight="1" s="64"/>
    <row r="469" ht="15.75" customHeight="1" s="64"/>
    <row r="470" ht="15.75" customHeight="1" s="64"/>
    <row r="471" ht="15.75" customHeight="1" s="64"/>
    <row r="472" ht="15.75" customHeight="1" s="64"/>
    <row r="473" ht="15.75" customHeight="1" s="64"/>
    <row r="474" ht="15.75" customHeight="1" s="64"/>
    <row r="475" ht="15.75" customHeight="1" s="64"/>
    <row r="476" ht="15.75" customHeight="1" s="64"/>
    <row r="477" ht="15.75" customHeight="1" s="64"/>
    <row r="478" ht="15.75" customHeight="1" s="64"/>
    <row r="479" ht="15.75" customHeight="1" s="64"/>
    <row r="480" ht="15.75" customHeight="1" s="64"/>
    <row r="481" ht="15.75" customHeight="1" s="64"/>
    <row r="482" ht="15.75" customHeight="1" s="64"/>
    <row r="483" ht="15.75" customHeight="1" s="64"/>
    <row r="484" ht="15.75" customHeight="1" s="64"/>
    <row r="485" ht="15.75" customHeight="1" s="64"/>
    <row r="486" ht="15.75" customHeight="1" s="64"/>
    <row r="487" ht="15.75" customHeight="1" s="64"/>
    <row r="488" ht="15.75" customHeight="1" s="64"/>
    <row r="489" ht="15.75" customHeight="1" s="64"/>
    <row r="490" ht="15.75" customHeight="1" s="64"/>
    <row r="491" ht="15.75" customHeight="1" s="64"/>
    <row r="492" ht="15.75" customHeight="1" s="64"/>
    <row r="493" ht="15.75" customHeight="1" s="64"/>
    <row r="494" ht="15.75" customHeight="1" s="64"/>
    <row r="495" ht="15.75" customHeight="1" s="64"/>
    <row r="496" ht="15.75" customHeight="1" s="64"/>
    <row r="497" ht="15.75" customHeight="1" s="64"/>
    <row r="498" ht="15.75" customHeight="1" s="64"/>
    <row r="499" ht="15.75" customHeight="1" s="64"/>
    <row r="500" ht="15.75" customHeight="1" s="64"/>
    <row r="501" ht="15.75" customHeight="1" s="64"/>
    <row r="502" ht="15.75" customHeight="1" s="64"/>
    <row r="503" ht="15.75" customHeight="1" s="64"/>
    <row r="504" ht="15.75" customHeight="1" s="64"/>
    <row r="505" ht="15.75" customHeight="1" s="64"/>
    <row r="506" ht="15.75" customHeight="1" s="64"/>
    <row r="507" ht="15.75" customHeight="1" s="64"/>
    <row r="508" ht="15.75" customHeight="1" s="64"/>
    <row r="509" ht="15.75" customHeight="1" s="64"/>
    <row r="510" ht="15.75" customHeight="1" s="64"/>
    <row r="511" ht="15.75" customHeight="1" s="64"/>
    <row r="512" ht="15.75" customHeight="1" s="64"/>
    <row r="513" ht="15.75" customHeight="1" s="64"/>
    <row r="514" ht="15.75" customHeight="1" s="64"/>
    <row r="515" ht="15.75" customHeight="1" s="64"/>
    <row r="516" ht="15.75" customHeight="1" s="64"/>
    <row r="517" ht="15.75" customHeight="1" s="64"/>
    <row r="518" ht="15.75" customHeight="1" s="64"/>
    <row r="519" ht="15.75" customHeight="1" s="64"/>
    <row r="520" ht="15.75" customHeight="1" s="64"/>
    <row r="521" ht="15.75" customHeight="1" s="64"/>
    <row r="522" ht="15.75" customHeight="1" s="64"/>
    <row r="523" ht="15.75" customHeight="1" s="64"/>
    <row r="524" ht="15.75" customHeight="1" s="64"/>
    <row r="525" ht="15.75" customHeight="1" s="64"/>
    <row r="526" ht="15.75" customHeight="1" s="64"/>
    <row r="527" ht="15.75" customHeight="1" s="64"/>
    <row r="528" ht="15.75" customHeight="1" s="64"/>
    <row r="529" ht="15.75" customHeight="1" s="64"/>
    <row r="530" ht="15.75" customHeight="1" s="64"/>
    <row r="531" ht="15.75" customHeight="1" s="64"/>
    <row r="532" ht="15.75" customHeight="1" s="64"/>
    <row r="533" ht="15.75" customHeight="1" s="64"/>
    <row r="534" ht="15.75" customHeight="1" s="64"/>
    <row r="535" ht="15.75" customHeight="1" s="64"/>
    <row r="536" ht="15.75" customHeight="1" s="64"/>
    <row r="537" ht="15.75" customHeight="1" s="64"/>
    <row r="538" ht="15.75" customHeight="1" s="64"/>
    <row r="539" ht="15.75" customHeight="1" s="64"/>
    <row r="540" ht="15.75" customHeight="1" s="64"/>
    <row r="541" ht="15.75" customHeight="1" s="64"/>
    <row r="542" ht="15.75" customHeight="1" s="64"/>
    <row r="543" ht="15.75" customHeight="1" s="64"/>
    <row r="544" ht="15.75" customHeight="1" s="64"/>
    <row r="545" ht="15.75" customHeight="1" s="64"/>
    <row r="546" ht="15.75" customHeight="1" s="64"/>
    <row r="547" ht="15.75" customHeight="1" s="64"/>
    <row r="548" ht="15.75" customHeight="1" s="64"/>
    <row r="549" ht="15.75" customHeight="1" s="64"/>
    <row r="550" ht="15.75" customHeight="1" s="64"/>
    <row r="551" ht="15.75" customHeight="1" s="64"/>
    <row r="552" ht="15.75" customHeight="1" s="64"/>
    <row r="553" ht="15.75" customHeight="1" s="64"/>
    <row r="554" ht="15.75" customHeight="1" s="64"/>
    <row r="555" ht="15.75" customHeight="1" s="64"/>
    <row r="556" ht="15.75" customHeight="1" s="64"/>
    <row r="557" ht="15.75" customHeight="1" s="64"/>
    <row r="558" ht="15.75" customHeight="1" s="64"/>
    <row r="559" ht="15.75" customHeight="1" s="64"/>
    <row r="560" ht="15.75" customHeight="1" s="64"/>
    <row r="561" ht="15.75" customHeight="1" s="64"/>
    <row r="562" ht="15.75" customHeight="1" s="64"/>
    <row r="563" ht="15.75" customHeight="1" s="64"/>
    <row r="564" ht="15.75" customHeight="1" s="64"/>
    <row r="565" ht="15.75" customHeight="1" s="64"/>
    <row r="566" ht="15.75" customHeight="1" s="64"/>
    <row r="567" ht="15.75" customHeight="1" s="64"/>
    <row r="568" ht="15.75" customHeight="1" s="64"/>
    <row r="569" ht="15.75" customHeight="1" s="64"/>
    <row r="570" ht="15.75" customHeight="1" s="64"/>
    <row r="571" ht="15.75" customHeight="1" s="64"/>
    <row r="572" ht="15.75" customHeight="1" s="64"/>
    <row r="573" ht="15.75" customHeight="1" s="64"/>
    <row r="574" ht="15.75" customHeight="1" s="64"/>
    <row r="575" ht="15.75" customHeight="1" s="64"/>
    <row r="576" ht="15.75" customHeight="1" s="64"/>
    <row r="577" ht="15.75" customHeight="1" s="64"/>
    <row r="578" ht="15.75" customHeight="1" s="64"/>
    <row r="579" ht="15.75" customHeight="1" s="64"/>
    <row r="580" ht="15.75" customHeight="1" s="64"/>
    <row r="581" ht="15.75" customHeight="1" s="64"/>
    <row r="582" ht="15.75" customHeight="1" s="64"/>
    <row r="583" ht="15.75" customHeight="1" s="64"/>
    <row r="584" ht="15.75" customHeight="1" s="64"/>
    <row r="585" ht="15.75" customHeight="1" s="64"/>
    <row r="586" ht="15.75" customHeight="1" s="64"/>
    <row r="587" ht="15.75" customHeight="1" s="64"/>
    <row r="588" ht="15.75" customHeight="1" s="64"/>
    <row r="589" ht="15.75" customHeight="1" s="64"/>
    <row r="590" ht="15.75" customHeight="1" s="64"/>
    <row r="591" ht="15.75" customHeight="1" s="64"/>
    <row r="592" ht="15.75" customHeight="1" s="64"/>
    <row r="593" ht="15.75" customHeight="1" s="64"/>
    <row r="594" ht="15.75" customHeight="1" s="64"/>
    <row r="595" ht="15.75" customHeight="1" s="64"/>
    <row r="596" ht="15.75" customHeight="1" s="64"/>
    <row r="597" ht="15.75" customHeight="1" s="64"/>
    <row r="598" ht="15.75" customHeight="1" s="64"/>
    <row r="599" ht="15.75" customHeight="1" s="64"/>
    <row r="600" ht="15.75" customHeight="1" s="64"/>
    <row r="601" ht="15.75" customHeight="1" s="64"/>
    <row r="602" ht="15.75" customHeight="1" s="64"/>
    <row r="603" ht="15.75" customHeight="1" s="64"/>
    <row r="604" ht="15.75" customHeight="1" s="64"/>
    <row r="605" ht="15.75" customHeight="1" s="64"/>
    <row r="606" ht="15.75" customHeight="1" s="64"/>
    <row r="607" ht="15.75" customHeight="1" s="64"/>
    <row r="608" ht="15.75" customHeight="1" s="64"/>
    <row r="609" ht="15.75" customHeight="1" s="64"/>
    <row r="610" ht="15.75" customHeight="1" s="64"/>
    <row r="611" ht="15.75" customHeight="1" s="64"/>
    <row r="612" ht="15.75" customHeight="1" s="64"/>
    <row r="613" ht="15.75" customHeight="1" s="64"/>
    <row r="614" ht="15.75" customHeight="1" s="64"/>
    <row r="615" ht="15.75" customHeight="1" s="64"/>
    <row r="616" ht="15.75" customHeight="1" s="64"/>
    <row r="617" ht="15.75" customHeight="1" s="64"/>
    <row r="618" ht="15.75" customHeight="1" s="64"/>
    <row r="619" ht="15.75" customHeight="1" s="64"/>
    <row r="620" ht="15.75" customHeight="1" s="64"/>
    <row r="621" ht="15.75" customHeight="1" s="64"/>
    <row r="622" ht="15.75" customHeight="1" s="64"/>
    <row r="623" ht="15.75" customHeight="1" s="64"/>
    <row r="624" ht="15.75" customHeight="1" s="64"/>
    <row r="625" ht="15.75" customHeight="1" s="64"/>
    <row r="626" ht="15.75" customHeight="1" s="64"/>
    <row r="627" ht="15.75" customHeight="1" s="64"/>
    <row r="628" ht="15.75" customHeight="1" s="64"/>
    <row r="629" ht="15.75" customHeight="1" s="64"/>
    <row r="630" ht="15.75" customHeight="1" s="64"/>
    <row r="631" ht="15.75" customHeight="1" s="64"/>
    <row r="632" ht="15.75" customHeight="1" s="64"/>
    <row r="633" ht="15.75" customHeight="1" s="64"/>
    <row r="634" ht="15.75" customHeight="1" s="64"/>
    <row r="635" ht="15.75" customHeight="1" s="64"/>
    <row r="636" ht="15.75" customHeight="1" s="64"/>
    <row r="637" ht="15.75" customHeight="1" s="64"/>
    <row r="638" ht="15.75" customHeight="1" s="64"/>
    <row r="639" ht="15.75" customHeight="1" s="64"/>
    <row r="640" ht="15.75" customHeight="1" s="64"/>
    <row r="641" ht="15.75" customHeight="1" s="64"/>
    <row r="642" ht="15.75" customHeight="1" s="64"/>
    <row r="643" ht="15.75" customHeight="1" s="64"/>
    <row r="644" ht="15.75" customHeight="1" s="64"/>
    <row r="645" ht="15.75" customHeight="1" s="64"/>
    <row r="646" ht="15.75" customHeight="1" s="64"/>
    <row r="647" ht="15.75" customHeight="1" s="64"/>
    <row r="648" ht="15.75" customHeight="1" s="64"/>
    <row r="649" ht="15.75" customHeight="1" s="64"/>
    <row r="650" ht="15.75" customHeight="1" s="64"/>
    <row r="651" ht="15.75" customHeight="1" s="64"/>
    <row r="652" ht="15.75" customHeight="1" s="64"/>
    <row r="653" ht="15.75" customHeight="1" s="64"/>
    <row r="654" ht="15.75" customHeight="1" s="64"/>
    <row r="655" ht="15.75" customHeight="1" s="64"/>
    <row r="656" ht="15.75" customHeight="1" s="64"/>
    <row r="657" ht="15.75" customHeight="1" s="64"/>
    <row r="658" ht="15.75" customHeight="1" s="64"/>
    <row r="659" ht="15.75" customHeight="1" s="64"/>
    <row r="660" ht="15.75" customHeight="1" s="64"/>
    <row r="661" ht="15.75" customHeight="1" s="64"/>
    <row r="662" ht="15.75" customHeight="1" s="64"/>
    <row r="663" ht="15.75" customHeight="1" s="64"/>
    <row r="664" ht="15.75" customHeight="1" s="64"/>
    <row r="665" ht="15.75" customHeight="1" s="64"/>
    <row r="666" ht="15.75" customHeight="1" s="64"/>
    <row r="667" ht="15.75" customHeight="1" s="64"/>
    <row r="668" ht="15.75" customHeight="1" s="64"/>
    <row r="669" ht="15.75" customHeight="1" s="64"/>
    <row r="670" ht="15.75" customHeight="1" s="64"/>
    <row r="671" ht="15.75" customHeight="1" s="64"/>
    <row r="672" ht="15.75" customHeight="1" s="64"/>
    <row r="673" ht="15.75" customHeight="1" s="64"/>
    <row r="674" ht="15.75" customHeight="1" s="64"/>
    <row r="675" ht="15.75" customHeight="1" s="64"/>
    <row r="676" ht="15.75" customHeight="1" s="64"/>
    <row r="677" ht="15.75" customHeight="1" s="64"/>
    <row r="678" ht="15.75" customHeight="1" s="64"/>
    <row r="679" ht="15.75" customHeight="1" s="64"/>
    <row r="680" ht="15.75" customHeight="1" s="64"/>
    <row r="681" ht="15.75" customHeight="1" s="64"/>
    <row r="682" ht="15.75" customHeight="1" s="64"/>
    <row r="683" ht="15.75" customHeight="1" s="64"/>
    <row r="684" ht="15.75" customHeight="1" s="64"/>
    <row r="685" ht="15.75" customHeight="1" s="64"/>
    <row r="686" ht="15.75" customHeight="1" s="64"/>
    <row r="687" ht="15.75" customHeight="1" s="64"/>
    <row r="688" ht="15.75" customHeight="1" s="64"/>
    <row r="689" ht="15.75" customHeight="1" s="64"/>
    <row r="690" ht="15.75" customHeight="1" s="64"/>
    <row r="691" ht="15.75" customHeight="1" s="64"/>
    <row r="692" ht="15.75" customHeight="1" s="64"/>
    <row r="693" ht="15.75" customHeight="1" s="64"/>
    <row r="694" ht="15.75" customHeight="1" s="64"/>
    <row r="695" ht="15.75" customHeight="1" s="64"/>
    <row r="696" ht="15.75" customHeight="1" s="64"/>
    <row r="697" ht="15.75" customHeight="1" s="64"/>
    <row r="698" ht="15.75" customHeight="1" s="64"/>
    <row r="699" ht="15.75" customHeight="1" s="64"/>
    <row r="700" ht="15.75" customHeight="1" s="64"/>
    <row r="701" ht="15.75" customHeight="1" s="64"/>
    <row r="702" ht="15.75" customHeight="1" s="64"/>
    <row r="703" ht="15.75" customHeight="1" s="64"/>
    <row r="704" ht="15.75" customHeight="1" s="64"/>
    <row r="705" ht="15.75" customHeight="1" s="64"/>
    <row r="706" ht="15.75" customHeight="1" s="64"/>
    <row r="707" ht="15.75" customHeight="1" s="64"/>
    <row r="708" ht="15.75" customHeight="1" s="64"/>
    <row r="709" ht="15.75" customHeight="1" s="64"/>
    <row r="710" ht="15.75" customHeight="1" s="64"/>
    <row r="711" ht="15.75" customHeight="1" s="64"/>
    <row r="712" ht="15.75" customHeight="1" s="64"/>
    <row r="713" ht="15.75" customHeight="1" s="64"/>
    <row r="714" ht="15.75" customHeight="1" s="64"/>
    <row r="715" ht="15.75" customHeight="1" s="64"/>
    <row r="716" ht="15.75" customHeight="1" s="64"/>
    <row r="717" ht="15.75" customHeight="1" s="64"/>
    <row r="718" ht="15.75" customHeight="1" s="64"/>
    <row r="719" ht="15.75" customHeight="1" s="64"/>
    <row r="720" ht="15.75" customHeight="1" s="64"/>
    <row r="721" ht="15.75" customHeight="1" s="64"/>
    <row r="722" ht="15.75" customHeight="1" s="64"/>
    <row r="723" ht="15.75" customHeight="1" s="64"/>
    <row r="724" ht="15.75" customHeight="1" s="64"/>
    <row r="725" ht="15.75" customHeight="1" s="64"/>
    <row r="726" ht="15.75" customHeight="1" s="64"/>
    <row r="727" ht="15.75" customHeight="1" s="64"/>
    <row r="728" ht="15.75" customHeight="1" s="64"/>
    <row r="729" ht="15.75" customHeight="1" s="64"/>
    <row r="730" ht="15.75" customHeight="1" s="64"/>
    <row r="731" ht="15.75" customHeight="1" s="64"/>
    <row r="732" ht="15.75" customHeight="1" s="64"/>
    <row r="733" ht="15.75" customHeight="1" s="64"/>
    <row r="734" ht="15.75" customHeight="1" s="64"/>
    <row r="735" ht="15.75" customHeight="1" s="64"/>
    <row r="736" ht="15.75" customHeight="1" s="64"/>
    <row r="737" ht="15.75" customHeight="1" s="64"/>
    <row r="738" ht="15.75" customHeight="1" s="64"/>
    <row r="739" ht="15.75" customHeight="1" s="64"/>
    <row r="740" ht="15.75" customHeight="1" s="64"/>
    <row r="741" ht="15.75" customHeight="1" s="64"/>
    <row r="742" ht="15.75" customHeight="1" s="64"/>
    <row r="743" ht="15.75" customHeight="1" s="64"/>
    <row r="744" ht="15.75" customHeight="1" s="64"/>
    <row r="745" ht="15.75" customHeight="1" s="64"/>
    <row r="746" ht="15.75" customHeight="1" s="64"/>
    <row r="747" ht="15.75" customHeight="1" s="64"/>
    <row r="748" ht="15.75" customHeight="1" s="64"/>
    <row r="749" ht="15.75" customHeight="1" s="64"/>
    <row r="750" ht="15.75" customHeight="1" s="64"/>
    <row r="751" ht="15.75" customHeight="1" s="64"/>
    <row r="752" ht="15.75" customHeight="1" s="64"/>
    <row r="753" ht="15.75" customHeight="1" s="64"/>
    <row r="754" ht="15.75" customHeight="1" s="64"/>
    <row r="755" ht="15.75" customHeight="1" s="64"/>
    <row r="756" ht="15.75" customHeight="1" s="64"/>
    <row r="757" ht="15.75" customHeight="1" s="64"/>
    <row r="758" ht="15.75" customHeight="1" s="64"/>
    <row r="759" ht="15.75" customHeight="1" s="64"/>
    <row r="760" ht="15.75" customHeight="1" s="64"/>
    <row r="761" ht="15.75" customHeight="1" s="64"/>
    <row r="762" ht="15.75" customHeight="1" s="64"/>
    <row r="763" ht="15.75" customHeight="1" s="64"/>
    <row r="764" ht="15.75" customHeight="1" s="64"/>
    <row r="765" ht="15.75" customHeight="1" s="64"/>
    <row r="766" ht="15.75" customHeight="1" s="64"/>
    <row r="767" ht="15.75" customHeight="1" s="64"/>
    <row r="768" ht="15.75" customHeight="1" s="64"/>
    <row r="769" ht="15.75" customHeight="1" s="64"/>
    <row r="770" ht="15.75" customHeight="1" s="64"/>
    <row r="771" ht="15.75" customHeight="1" s="64"/>
    <row r="772" ht="15.75" customHeight="1" s="64"/>
    <row r="773" ht="15.75" customHeight="1" s="64"/>
    <row r="774" ht="15.75" customHeight="1" s="64"/>
    <row r="775" ht="15.75" customHeight="1" s="64"/>
    <row r="776" ht="15.75" customHeight="1" s="64"/>
    <row r="777" ht="15.75" customHeight="1" s="64"/>
    <row r="778" ht="15.75" customHeight="1" s="64"/>
    <row r="779" ht="15.75" customHeight="1" s="64"/>
    <row r="780" ht="15.75" customHeight="1" s="64"/>
    <row r="781" ht="15.75" customHeight="1" s="64"/>
    <row r="782" ht="15.75" customHeight="1" s="64"/>
    <row r="783" ht="15.75" customHeight="1" s="64"/>
    <row r="784" ht="15.75" customHeight="1" s="64"/>
    <row r="785" ht="15.75" customHeight="1" s="64"/>
    <row r="786" ht="15.75" customHeight="1" s="64"/>
    <row r="787" ht="15.75" customHeight="1" s="64"/>
    <row r="788" ht="15.75" customHeight="1" s="64"/>
    <row r="789" ht="15.75" customHeight="1" s="64"/>
    <row r="790" ht="15.75" customHeight="1" s="64"/>
    <row r="791" ht="15.75" customHeight="1" s="64"/>
    <row r="792" ht="15.75" customHeight="1" s="64"/>
    <row r="793" ht="15.75" customHeight="1" s="64"/>
    <row r="794" ht="15.75" customHeight="1" s="64"/>
    <row r="795" ht="15.75" customHeight="1" s="64"/>
    <row r="796" ht="15.75" customHeight="1" s="64"/>
    <row r="797" ht="15.75" customHeight="1" s="64"/>
    <row r="798" ht="15.75" customHeight="1" s="64"/>
    <row r="799" ht="15.75" customHeight="1" s="64"/>
    <row r="800" ht="15.75" customHeight="1" s="64"/>
    <row r="801" ht="15.75" customHeight="1" s="64"/>
    <row r="802" ht="15.75" customHeight="1" s="64"/>
    <row r="803" ht="15.75" customHeight="1" s="64"/>
    <row r="804" ht="15.75" customHeight="1" s="64"/>
    <row r="805" ht="15.75" customHeight="1" s="64"/>
    <row r="806" ht="15.75" customHeight="1" s="64"/>
    <row r="807" ht="15.75" customHeight="1" s="64"/>
    <row r="808" ht="15.75" customHeight="1" s="64"/>
    <row r="809" ht="15.75" customHeight="1" s="64"/>
    <row r="810" ht="15.75" customHeight="1" s="64"/>
    <row r="811" ht="15.75" customHeight="1" s="64"/>
    <row r="812" ht="15.75" customHeight="1" s="64"/>
    <row r="813" ht="15.75" customHeight="1" s="64"/>
    <row r="814" ht="15.75" customHeight="1" s="64"/>
    <row r="815" ht="15.75" customHeight="1" s="64"/>
    <row r="816" ht="15.75" customHeight="1" s="64"/>
    <row r="817" ht="15.75" customHeight="1" s="64"/>
    <row r="818" ht="15.75" customHeight="1" s="64"/>
    <row r="819" ht="15.75" customHeight="1" s="64"/>
    <row r="820" ht="15.75" customHeight="1" s="64"/>
    <row r="821" ht="15.75" customHeight="1" s="64"/>
    <row r="822" ht="15.75" customHeight="1" s="64"/>
    <row r="823" ht="15.75" customHeight="1" s="64"/>
    <row r="824" ht="15.75" customHeight="1" s="64"/>
    <row r="825" ht="15.75" customHeight="1" s="64"/>
    <row r="826" ht="15.75" customHeight="1" s="64"/>
    <row r="827" ht="15.75" customHeight="1" s="64"/>
    <row r="828" ht="15.75" customHeight="1" s="64"/>
    <row r="829" ht="15.75" customHeight="1" s="64"/>
    <row r="830" ht="15.75" customHeight="1" s="64"/>
    <row r="831" ht="15.75" customHeight="1" s="64"/>
    <row r="832" ht="15.75" customHeight="1" s="64"/>
    <row r="833" ht="15.75" customHeight="1" s="64"/>
    <row r="834" ht="15.75" customHeight="1" s="64"/>
    <row r="835" ht="15.75" customHeight="1" s="64"/>
    <row r="836" ht="15.75" customHeight="1" s="64"/>
    <row r="837" ht="15.75" customHeight="1" s="64"/>
    <row r="838" ht="15.75" customHeight="1" s="64"/>
    <row r="839" ht="15.75" customHeight="1" s="64"/>
    <row r="840" ht="15.75" customHeight="1" s="64"/>
    <row r="841" ht="15.75" customHeight="1" s="64"/>
    <row r="842" ht="15.75" customHeight="1" s="64"/>
    <row r="843" ht="15.75" customHeight="1" s="64"/>
    <row r="844" ht="15.75" customHeight="1" s="64"/>
    <row r="845" ht="15.75" customHeight="1" s="64"/>
    <row r="846" ht="15.75" customHeight="1" s="64"/>
    <row r="847" ht="15.75" customHeight="1" s="64"/>
    <row r="848" ht="15.75" customHeight="1" s="64"/>
    <row r="849" ht="15.75" customHeight="1" s="64"/>
    <row r="850" ht="15.75" customHeight="1" s="64"/>
    <row r="851" ht="15.75" customHeight="1" s="64"/>
    <row r="852" ht="15.75" customHeight="1" s="64"/>
    <row r="853" ht="15.75" customHeight="1" s="64"/>
    <row r="854" ht="15.75" customHeight="1" s="64"/>
    <row r="855" ht="15.75" customHeight="1" s="64"/>
    <row r="856" ht="15.75" customHeight="1" s="64"/>
    <row r="857" ht="15.75" customHeight="1" s="64"/>
    <row r="858" ht="15.75" customHeight="1" s="64"/>
    <row r="859" ht="15.75" customHeight="1" s="64"/>
    <row r="860" ht="15.75" customHeight="1" s="64"/>
    <row r="861" ht="15.75" customHeight="1" s="64"/>
    <row r="862" ht="15.75" customHeight="1" s="64"/>
    <row r="863" ht="15.75" customHeight="1" s="64"/>
    <row r="864" ht="15.75" customHeight="1" s="64"/>
    <row r="865" ht="15.75" customHeight="1" s="64"/>
    <row r="866" ht="15.75" customHeight="1" s="64"/>
    <row r="867" ht="15.75" customHeight="1" s="64"/>
    <row r="868" ht="15.75" customHeight="1" s="64"/>
    <row r="869" ht="15.75" customHeight="1" s="64"/>
    <row r="870" ht="15.75" customHeight="1" s="64"/>
    <row r="871" ht="15.75" customHeight="1" s="64"/>
    <row r="872" ht="15.75" customHeight="1" s="64"/>
    <row r="873" ht="15.75" customHeight="1" s="64"/>
    <row r="874" ht="15.75" customHeight="1" s="64"/>
    <row r="875" ht="15.75" customHeight="1" s="64"/>
    <row r="876" ht="15.75" customHeight="1" s="64"/>
    <row r="877" ht="15.75" customHeight="1" s="64"/>
    <row r="878" ht="15.75" customHeight="1" s="64"/>
    <row r="879" ht="15.75" customHeight="1" s="64"/>
    <row r="880" ht="15.75" customHeight="1" s="64"/>
    <row r="881" ht="15.75" customHeight="1" s="64"/>
    <row r="882" ht="15.75" customHeight="1" s="64"/>
    <row r="883" ht="15.75" customHeight="1" s="64"/>
    <row r="884" ht="15.75" customHeight="1" s="64"/>
    <row r="885" ht="15.75" customHeight="1" s="64"/>
    <row r="886" ht="15.75" customHeight="1" s="64"/>
    <row r="887" ht="15.75" customHeight="1" s="64"/>
    <row r="888" ht="15.75" customHeight="1" s="64"/>
    <row r="889" ht="15.75" customHeight="1" s="64"/>
    <row r="890" ht="15.75" customHeight="1" s="64"/>
    <row r="891" ht="15.75" customHeight="1" s="64"/>
    <row r="892" ht="15.75" customHeight="1" s="64"/>
    <row r="893" ht="15.75" customHeight="1" s="64"/>
    <row r="894" ht="15.75" customHeight="1" s="64"/>
    <row r="895" ht="15.75" customHeight="1" s="64"/>
    <row r="896" ht="15.75" customHeight="1" s="64"/>
    <row r="897" ht="15.75" customHeight="1" s="64"/>
    <row r="898" ht="15.75" customHeight="1" s="64"/>
    <row r="899" ht="15.75" customHeight="1" s="64"/>
    <row r="900" ht="15.75" customHeight="1" s="64"/>
    <row r="901" ht="15.75" customHeight="1" s="64"/>
    <row r="902" ht="15.75" customHeight="1" s="64"/>
    <row r="903" ht="15.75" customHeight="1" s="64"/>
    <row r="904" ht="15.75" customHeight="1" s="64"/>
    <row r="905" ht="15.75" customHeight="1" s="64"/>
    <row r="906" ht="15.75" customHeight="1" s="64"/>
    <row r="907" ht="15.75" customHeight="1" s="64"/>
    <row r="908" ht="15.75" customHeight="1" s="64"/>
    <row r="909" ht="15.75" customHeight="1" s="64"/>
    <row r="910" ht="15.75" customHeight="1" s="64"/>
    <row r="911" ht="15.75" customHeight="1" s="64"/>
    <row r="912" ht="15.75" customHeight="1" s="64"/>
    <row r="913" ht="15.75" customHeight="1" s="64"/>
    <row r="914" ht="15.75" customHeight="1" s="64"/>
    <row r="915" ht="15.75" customHeight="1" s="64"/>
    <row r="916" ht="15.75" customHeight="1" s="64"/>
    <row r="917" ht="15.75" customHeight="1" s="64"/>
    <row r="918" ht="15.75" customHeight="1" s="64"/>
    <row r="919" ht="15.75" customHeight="1" s="64"/>
    <row r="920" ht="15.75" customHeight="1" s="64"/>
    <row r="921" ht="15.75" customHeight="1" s="64"/>
    <row r="922" ht="15.75" customHeight="1" s="64"/>
    <row r="923" ht="15.75" customHeight="1" s="64"/>
    <row r="924" ht="15.75" customHeight="1" s="64"/>
    <row r="925" ht="15.75" customHeight="1" s="64"/>
    <row r="926" ht="15.75" customHeight="1" s="64"/>
    <row r="927" ht="15.75" customHeight="1" s="64"/>
    <row r="928" ht="15.75" customHeight="1" s="64"/>
    <row r="929" ht="15.75" customHeight="1" s="64"/>
    <row r="930" ht="15.75" customHeight="1" s="64"/>
    <row r="931" ht="15.75" customHeight="1" s="64"/>
    <row r="932" ht="15.75" customHeight="1" s="64"/>
    <row r="933" ht="15.75" customHeight="1" s="64"/>
    <row r="934" ht="15.75" customHeight="1" s="64"/>
    <row r="935" ht="15.75" customHeight="1" s="64"/>
    <row r="936" ht="15.75" customHeight="1" s="64"/>
    <row r="937" ht="15.75" customHeight="1" s="64"/>
    <row r="938" ht="15.75" customHeight="1" s="64"/>
    <row r="939" ht="15.75" customHeight="1" s="64"/>
    <row r="940" ht="15.75" customHeight="1" s="64"/>
    <row r="941" ht="15.75" customHeight="1" s="64"/>
    <row r="942" ht="15.75" customHeight="1" s="64"/>
    <row r="943" ht="15.75" customHeight="1" s="64"/>
    <row r="944" ht="15.75" customHeight="1" s="64"/>
    <row r="945" ht="15.75" customHeight="1" s="64"/>
    <row r="946" ht="15.75" customHeight="1" s="64"/>
    <row r="947" ht="15.75" customHeight="1" s="64"/>
    <row r="948" ht="15.75" customHeight="1" s="64"/>
    <row r="949" ht="15.75" customHeight="1" s="64"/>
    <row r="950" ht="15.75" customHeight="1" s="64"/>
    <row r="951" ht="15.75" customHeight="1" s="64"/>
    <row r="952" ht="15.75" customHeight="1" s="64"/>
    <row r="953" ht="15.75" customHeight="1" s="64"/>
    <row r="954" ht="15.75" customHeight="1" s="64"/>
    <row r="955" ht="15.75" customHeight="1" s="64"/>
    <row r="956" ht="15.75" customHeight="1" s="64"/>
    <row r="957" ht="15.75" customHeight="1" s="64"/>
    <row r="958" ht="15.75" customHeight="1" s="64"/>
    <row r="959" ht="15.75" customHeight="1" s="64"/>
    <row r="960" ht="15.75" customHeight="1" s="64"/>
    <row r="961" ht="15.75" customHeight="1" s="64"/>
    <row r="962" ht="15.75" customHeight="1" s="64"/>
    <row r="963" ht="15.75" customHeight="1" s="64"/>
    <row r="964" ht="15.75" customHeight="1" s="64"/>
    <row r="965" ht="15.75" customHeight="1" s="64"/>
    <row r="966" ht="15.75" customHeight="1" s="64"/>
    <row r="967" ht="15.75" customHeight="1" s="64"/>
    <row r="968" ht="15.75" customHeight="1" s="64"/>
    <row r="969" ht="15.75" customHeight="1" s="64"/>
    <row r="970" ht="15.75" customHeight="1" s="64"/>
    <row r="971" ht="15.75" customHeight="1" s="64"/>
    <row r="972" ht="15.75" customHeight="1" s="64"/>
    <row r="973" ht="15.75" customHeight="1" s="64"/>
    <row r="974" ht="15.75" customHeight="1" s="64"/>
    <row r="975" ht="15.75" customHeight="1" s="64"/>
    <row r="976" ht="15.75" customHeight="1" s="64"/>
    <row r="977" ht="15.75" customHeight="1" s="64"/>
    <row r="978" ht="15.75" customHeight="1" s="64"/>
    <row r="979" ht="15.75" customHeight="1" s="64"/>
    <row r="980" ht="15.75" customHeight="1" s="64"/>
    <row r="981" ht="15.75" customHeight="1" s="64"/>
    <row r="982" ht="15.75" customHeight="1" s="64"/>
    <row r="983" ht="15.75" customHeight="1" s="64"/>
    <row r="984" ht="15.75" customHeight="1" s="64"/>
    <row r="985" ht="15.75" customHeight="1" s="64"/>
    <row r="986" ht="15.75" customHeight="1" s="64"/>
    <row r="987" ht="15.75" customHeight="1" s="64"/>
    <row r="988" ht="15.75" customHeight="1" s="64"/>
    <row r="989" ht="15.75" customHeight="1" s="64"/>
    <row r="990" ht="15.75" customHeight="1" s="64"/>
    <row r="991" ht="15.75" customHeight="1" s="64"/>
    <row r="992" ht="15.75" customHeight="1" s="64"/>
    <row r="993" ht="15.75" customHeight="1" s="64"/>
    <row r="994" ht="15.75" customHeight="1" s="64"/>
    <row r="995" ht="15.75" customHeight="1" s="64"/>
    <row r="996" ht="15.75" customHeight="1" s="64"/>
    <row r="997" ht="15.75" customHeight="1" s="64"/>
    <row r="998" ht="15.75" customHeight="1" s="64"/>
    <row r="999" ht="15.75" customHeight="1" s="64"/>
    <row r="1000" ht="15.75" customHeight="1" s="64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D1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4" customWidth="1" style="63" min="1" max="1"/>
    <col width="12" customWidth="1" style="63" min="2" max="2"/>
    <col width="44" customWidth="1" style="63" min="3" max="3"/>
    <col width="18" customWidth="1" style="63" min="4" max="4"/>
  </cols>
  <sheetData>
    <row r="1" ht="15" customHeight="1" s="64">
      <c r="A1" s="122" t="inlineStr">
        <is>
          <t>POSITION — LEGS &amp; ASSUMPTIONS  (read by straddle_tool.py; keep this layout)</t>
        </is>
      </c>
    </row>
    <row r="2" ht="15" customHeight="1" s="64">
      <c r="A2" s="123" t="inlineStr">
        <is>
          <t>Yellow cells are inputs. Legs start at row 6, one per row, until a blank.</t>
        </is>
      </c>
    </row>
    <row r="4" ht="15" customHeight="1" s="64">
      <c r="A4" s="90" t="inlineStr">
        <is>
          <t>LEGS</t>
        </is>
      </c>
    </row>
    <row r="5" ht="15" customHeight="1" s="64">
      <c r="A5" s="89" t="inlineStr">
        <is>
          <t>Right (C/P)</t>
        </is>
      </c>
      <c r="B5" s="89" t="inlineStr">
        <is>
          <t>Strike</t>
        </is>
      </c>
      <c r="C5" s="89" t="inlineStr">
        <is>
          <t>Expiry</t>
        </is>
      </c>
      <c r="D5" s="89" t="inlineStr">
        <is>
          <t>Contracts (signed)</t>
        </is>
      </c>
    </row>
    <row r="6" ht="15" customHeight="1" s="64">
      <c r="A6" s="124" t="inlineStr">
        <is>
          <t>C</t>
        </is>
      </c>
      <c r="B6" s="106" t="n">
        <v>764</v>
      </c>
      <c r="C6" s="125" t="n">
        <v>46290</v>
      </c>
      <c r="D6" s="124" t="n">
        <v>2</v>
      </c>
    </row>
    <row r="7" ht="15" customHeight="1" s="64">
      <c r="A7" s="124" t="inlineStr">
        <is>
          <t>P</t>
        </is>
      </c>
      <c r="B7" s="106" t="n">
        <v>764</v>
      </c>
      <c r="C7" s="125" t="n">
        <v>46290</v>
      </c>
      <c r="D7" s="124" t="n">
        <v>2</v>
      </c>
    </row>
    <row r="8"/>
    <row r="9" ht="15" customHeight="1" s="64">
      <c r="A9" s="90" t="inlineStr">
        <is>
          <t>ASSUMPTIONS</t>
        </is>
      </c>
    </row>
    <row r="10" ht="15" customHeight="1" s="64">
      <c r="A10" s="63" t="inlineStr">
        <is>
          <t>Risk-free rate (annual)</t>
        </is>
      </c>
      <c r="B10" s="126" t="n">
        <v>0.04</v>
      </c>
      <c r="C10" s="123" t="inlineStr">
        <is>
          <t>set from ~1-month T-bill yield</t>
        </is>
      </c>
    </row>
    <row r="11" ht="15" customHeight="1" s="64">
      <c r="A11" s="63" t="inlineStr">
        <is>
          <t>Dividend per share ($)</t>
        </is>
      </c>
      <c r="B11" s="106" t="n">
        <v>1.9</v>
      </c>
      <c r="C11" s="123" t="inlineStr">
        <is>
          <t>ESTIMATE — update when SPY declares (usually mid-Sep)</t>
        </is>
      </c>
    </row>
    <row r="12" ht="15" customHeight="1" s="64">
      <c r="A12" s="63" t="inlineStr">
        <is>
          <t>Ex-dividend date</t>
        </is>
      </c>
      <c r="B12" s="125" t="n">
        <v>46283</v>
      </c>
    </row>
    <row r="13" ht="15" customHeight="1" s="64">
      <c r="A13" s="63" t="inlineStr">
        <is>
          <t>Contract multiplier</t>
        </is>
      </c>
      <c r="B13" s="124" t="n">
        <v>100</v>
      </c>
    </row>
    <row r="15" ht="15" customHeight="1" s="64">
      <c r="A15" s="123" t="inlineStr">
        <is>
          <t>Entry debit &amp; contract count for P&amp;L are read from the Entry tab (B13 × B9 × 100).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9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style="64" min="1" max="1"/>
    <col width="5" customWidth="1" style="64" min="2" max="2"/>
    <col width="9" customWidth="1" style="64" min="3" max="3"/>
    <col width="18" customWidth="1" style="64" min="4" max="4"/>
    <col width="5" customWidth="1" style="64" min="5" max="5"/>
    <col width="8" customWidth="1" style="64" min="6" max="6"/>
    <col width="10" customWidth="1" style="64" min="7" max="7"/>
    <col width="12" customWidth="1" style="64" min="8" max="8"/>
    <col width="16" customWidth="1" style="64" min="9" max="9"/>
    <col width="11" customWidth="1" style="64" min="10" max="10"/>
    <col width="14" customWidth="1" style="64" min="11" max="11"/>
    <col width="14" customWidth="1" style="64" min="12" max="12"/>
    <col width="12" customWidth="1" style="64" min="13" max="13"/>
    <col width="8" customWidth="1" style="64" min="14" max="14"/>
  </cols>
  <sheetData>
    <row r="1">
      <c r="A1" s="127" t="inlineStr">
        <is>
          <t>GREEK HISTORY — what each leg contributes to the position Greeks, mark by mark. Rebuilt by straddle_tool.py on every `mark`; anything typed here is lost.</t>
        </is>
      </c>
    </row>
    <row r="2">
      <c r="A2" t="inlineStr">
        <is>
          <t>Units: value $ · delta share-equivalents · gamma sh/$1 · theta $/calendar day · vega $/vol pt. The entry row is the model at the Entry-tab IVs.</t>
        </is>
      </c>
    </row>
    <row r="4">
      <c r="A4" s="127" t="inlineStr">
        <is>
          <t>Date</t>
        </is>
      </c>
      <c r="B4" s="127" t="inlineStr">
        <is>
          <t>DTE</t>
        </is>
      </c>
      <c r="C4" s="127" t="inlineStr">
        <is>
          <t>Spot</t>
        </is>
      </c>
      <c r="D4" s="127" t="inlineStr">
        <is>
          <t>Leg</t>
        </is>
      </c>
      <c r="E4" s="127" t="inlineStr">
        <is>
          <t>Qty</t>
        </is>
      </c>
      <c r="F4" s="127" t="inlineStr">
        <is>
          <t>IV</t>
        </is>
      </c>
      <c r="G4" s="127" t="inlineStr">
        <is>
          <t>Price/sh</t>
        </is>
      </c>
      <c r="H4" s="127" t="inlineStr">
        <is>
          <t>Value ($)</t>
        </is>
      </c>
      <c r="I4" s="127" t="inlineStr">
        <is>
          <t>P&amp;L vs entry ($)</t>
        </is>
      </c>
      <c r="J4" s="127" t="inlineStr">
        <is>
          <t>Delta (sh)</t>
        </is>
      </c>
      <c r="K4" s="127" t="inlineStr">
        <is>
          <t>Gamma (sh/$1)</t>
        </is>
      </c>
      <c r="L4" s="127" t="inlineStr">
        <is>
          <t>Theta ($/day)</t>
        </is>
      </c>
      <c r="M4" s="127" t="inlineStr">
        <is>
          <t>Vega ($/pt)</t>
        </is>
      </c>
      <c r="N4" s="127" t="inlineStr">
        <is>
          <t>Source</t>
        </is>
      </c>
    </row>
    <row r="5">
      <c r="A5" s="128" t="n">
        <v>46258</v>
      </c>
      <c r="B5" t="n">
        <v>32</v>
      </c>
      <c r="C5" s="129" t="n">
        <v>763.66</v>
      </c>
      <c r="D5" t="inlineStr">
        <is>
          <t>C 764 2026-09-25</t>
        </is>
      </c>
      <c r="E5" t="n">
        <v>2</v>
      </c>
      <c r="F5" s="130" t="n">
        <v>0.128</v>
      </c>
      <c r="G5" s="131" t="n">
        <v>11.73499703076317</v>
      </c>
      <c r="H5" s="132" t="n">
        <v>2346.999406152634</v>
      </c>
      <c r="J5" s="133" t="n">
        <v>102.7270855846132</v>
      </c>
      <c r="K5" s="129" t="n">
        <v>2.762018840777686</v>
      </c>
      <c r="L5" s="129" t="n">
        <v>-44.29068136654718</v>
      </c>
      <c r="M5" s="129" t="n">
        <v>179.8605743282656</v>
      </c>
      <c r="N5" t="inlineStr">
        <is>
          <t>entry</t>
        </is>
      </c>
    </row>
    <row r="6">
      <c r="A6" s="128" t="n">
        <v>46258</v>
      </c>
      <c r="B6" t="n">
        <v>32</v>
      </c>
      <c r="C6" s="129" t="n">
        <v>763.66</v>
      </c>
      <c r="D6" t="inlineStr">
        <is>
          <t>P 764 2026-09-25</t>
        </is>
      </c>
      <c r="E6" t="n">
        <v>2</v>
      </c>
      <c r="F6" s="130" t="n">
        <v>0.128</v>
      </c>
      <c r="G6" s="131" t="n">
        <v>11.29525814515449</v>
      </c>
      <c r="H6" s="132" t="n">
        <v>2259.051629030898</v>
      </c>
      <c r="J6" s="133" t="n">
        <v>-97.27291441538679</v>
      </c>
      <c r="K6" s="129" t="n">
        <v>2.762018840777686</v>
      </c>
      <c r="L6" s="129" t="n">
        <v>-27.60409595351578</v>
      </c>
      <c r="M6" s="129" t="n">
        <v>179.8605743282656</v>
      </c>
      <c r="N6" t="inlineStr">
        <is>
          <t>entry</t>
        </is>
      </c>
    </row>
    <row r="7">
      <c r="A7" s="134" t="n">
        <v>46258</v>
      </c>
      <c r="B7" s="127" t="n">
        <v>32</v>
      </c>
      <c r="C7" s="135" t="n">
        <v>763.66</v>
      </c>
      <c r="D7" s="127" t="inlineStr">
        <is>
          <t>POSITION</t>
        </is>
      </c>
      <c r="E7" s="127" t="n"/>
      <c r="F7" s="127" t="n"/>
      <c r="G7" s="127" t="n"/>
      <c r="H7" s="136" t="n">
        <v>4606.051035183532</v>
      </c>
      <c r="I7" s="137" t="n">
        <v>-99.94896481646811</v>
      </c>
      <c r="J7" s="138" t="n">
        <v>5.454171169226413</v>
      </c>
      <c r="K7" s="135" t="n">
        <v>5.524037681555372</v>
      </c>
      <c r="L7" s="135" t="n">
        <v>-71.89477732006296</v>
      </c>
      <c r="M7" s="135" t="n">
        <v>359.7211486565311</v>
      </c>
      <c r="N7" s="127" t="inlineStr">
        <is>
          <t>entry</t>
        </is>
      </c>
    </row>
    <row r="9">
      <c r="A9" s="128" t="n">
        <v>46259</v>
      </c>
      <c r="B9" t="n">
        <v>31</v>
      </c>
      <c r="C9" s="129" t="n">
        <v>765.85</v>
      </c>
      <c r="D9" t="inlineStr">
        <is>
          <t>C 764 2026-09-25</t>
        </is>
      </c>
      <c r="E9" t="n">
        <v>2</v>
      </c>
      <c r="F9" s="130" t="n">
        <v>0.1272</v>
      </c>
      <c r="G9" s="131" t="n">
        <v>12.59721480597875</v>
      </c>
      <c r="H9" s="132" t="n">
        <v>2519.44296119575</v>
      </c>
      <c r="J9" s="133" t="n">
        <v>108.6472595227261</v>
      </c>
      <c r="K9" s="129" t="n">
        <v>2.800852199319936</v>
      </c>
      <c r="L9" s="129" t="n">
        <v>-45.05069538593364</v>
      </c>
      <c r="M9" s="129" t="n">
        <v>176.5963313315424</v>
      </c>
      <c r="N9" t="inlineStr">
        <is>
          <t>ivs</t>
        </is>
      </c>
    </row>
    <row r="10">
      <c r="A10" s="128" t="n">
        <v>46259</v>
      </c>
      <c r="B10" t="n">
        <v>31</v>
      </c>
      <c r="C10" s="129" t="n">
        <v>765.85</v>
      </c>
      <c r="D10" t="inlineStr">
        <is>
          <t>P 764 2026-09-25</t>
        </is>
      </c>
      <c r="E10" t="n">
        <v>2</v>
      </c>
      <c r="F10" s="130" t="n">
        <v>0.1272</v>
      </c>
      <c r="G10" s="131" t="n">
        <v>10.05112108014322</v>
      </c>
      <c r="H10" s="132" t="n">
        <v>2010.224216028644</v>
      </c>
      <c r="J10" s="133" t="n">
        <v>-91.35274047727391</v>
      </c>
      <c r="K10" s="129" t="n">
        <v>2.800852199319936</v>
      </c>
      <c r="L10" s="129" t="n">
        <v>-28.36228120580308</v>
      </c>
      <c r="M10" s="129" t="n">
        <v>176.5963313315424</v>
      </c>
      <c r="N10" t="inlineStr">
        <is>
          <t>ivs</t>
        </is>
      </c>
    </row>
    <row r="11">
      <c r="A11" s="134" t="n">
        <v>46259</v>
      </c>
      <c r="B11" s="127" t="n">
        <v>31</v>
      </c>
      <c r="C11" s="135" t="n">
        <v>765.85</v>
      </c>
      <c r="D11" s="127" t="inlineStr">
        <is>
          <t>POSITION</t>
        </is>
      </c>
      <c r="E11" s="127" t="n"/>
      <c r="F11" s="127" t="n"/>
      <c r="G11" s="127" t="n"/>
      <c r="H11" s="136" t="n">
        <v>4529.667177224394</v>
      </c>
      <c r="I11" s="137" t="n">
        <v>-176.3328227756065</v>
      </c>
      <c r="J11" s="138" t="n">
        <v>17.29451904545218</v>
      </c>
      <c r="K11" s="135" t="n">
        <v>5.601704398639871</v>
      </c>
      <c r="L11" s="135" t="n">
        <v>-73.41297659173672</v>
      </c>
      <c r="M11" s="135" t="n">
        <v>353.1926626630848</v>
      </c>
      <c r="N11" s="127" t="inlineStr">
        <is>
          <t>ivs</t>
        </is>
      </c>
    </row>
    <row r="13">
      <c r="A13" s="128" t="n">
        <v>46260</v>
      </c>
      <c r="B13" t="n">
        <v>30</v>
      </c>
      <c r="C13" s="129" t="n">
        <v>766.01</v>
      </c>
      <c r="D13" t="inlineStr">
        <is>
          <t>C 764 2026-09-25</t>
        </is>
      </c>
      <c r="E13" t="n">
        <v>2</v>
      </c>
      <c r="F13" s="130" t="n">
        <v>0.1268</v>
      </c>
      <c r="G13" s="131" t="n">
        <v>12.42261095159807</v>
      </c>
      <c r="H13" s="132" t="n">
        <v>2484.522190319615</v>
      </c>
      <c r="J13" s="133" t="n">
        <v>108.9769333726041</v>
      </c>
      <c r="K13" s="129" t="n">
        <v>2.854221221230698</v>
      </c>
      <c r="L13" s="129" t="n">
        <v>-45.55789893531169</v>
      </c>
      <c r="M13" s="129" t="n">
        <v>173.681066943277</v>
      </c>
      <c r="N13" t="inlineStr">
        <is>
          <t>ivs</t>
        </is>
      </c>
    </row>
    <row r="14">
      <c r="A14" s="128" t="n">
        <v>46260</v>
      </c>
      <c r="B14" t="n">
        <v>30</v>
      </c>
      <c r="C14" s="129" t="n">
        <v>766.01</v>
      </c>
      <c r="D14" t="inlineStr">
        <is>
          <t>P 764 2026-09-25</t>
        </is>
      </c>
      <c r="E14" t="n">
        <v>2</v>
      </c>
      <c r="F14" s="130" t="n">
        <v>0.1268</v>
      </c>
      <c r="G14" s="131" t="n">
        <v>9.800171552630957</v>
      </c>
      <c r="H14" s="132" t="n">
        <v>1960.034310526191</v>
      </c>
      <c r="J14" s="133" t="n">
        <v>-91.02306662739592</v>
      </c>
      <c r="K14" s="129" t="n">
        <v>2.854221221230698</v>
      </c>
      <c r="L14" s="129" t="n">
        <v>-28.86765578765816</v>
      </c>
      <c r="M14" s="129" t="n">
        <v>173.681066943277</v>
      </c>
      <c r="N14" t="inlineStr">
        <is>
          <t>ivs</t>
        </is>
      </c>
    </row>
    <row r="15">
      <c r="A15" s="134" t="n">
        <v>46260</v>
      </c>
      <c r="B15" s="127" t="n">
        <v>30</v>
      </c>
      <c r="C15" s="135" t="n">
        <v>766.01</v>
      </c>
      <c r="D15" s="127" t="inlineStr">
        <is>
          <t>POSITION</t>
        </is>
      </c>
      <c r="E15" s="127" t="n"/>
      <c r="F15" s="127" t="n"/>
      <c r="G15" s="127" t="n"/>
      <c r="H15" s="136" t="n">
        <v>4444.556500845806</v>
      </c>
      <c r="I15" s="137" t="n">
        <v>-261.4434991541939</v>
      </c>
      <c r="J15" s="138" t="n">
        <v>17.95386674520816</v>
      </c>
      <c r="K15" s="135" t="n">
        <v>5.708442442461396</v>
      </c>
      <c r="L15" s="135" t="n">
        <v>-74.42555472296985</v>
      </c>
      <c r="M15" s="135" t="n">
        <v>347.3621338865539</v>
      </c>
      <c r="N15" s="127" t="inlineStr">
        <is>
          <t>ivs</t>
        </is>
      </c>
    </row>
    <row r="17">
      <c r="A17" s="128" t="n">
        <v>46261</v>
      </c>
      <c r="B17" t="n">
        <v>29</v>
      </c>
      <c r="C17" s="129" t="n">
        <v>771.08</v>
      </c>
      <c r="D17" t="inlineStr">
        <is>
          <t>C 764 2026-09-25</t>
        </is>
      </c>
      <c r="E17" t="n">
        <v>2</v>
      </c>
      <c r="F17" s="130" t="n">
        <v>0.1234</v>
      </c>
      <c r="G17" s="131" t="n">
        <v>14.8553820983019</v>
      </c>
      <c r="H17" s="132" t="n">
        <v>2971.07641966038</v>
      </c>
      <c r="J17" s="133" t="n">
        <v>123.8261713004564</v>
      </c>
      <c r="K17" s="129" t="n">
        <v>2.848259242198633</v>
      </c>
      <c r="L17" s="129" t="n">
        <v>-45.26407427670808</v>
      </c>
      <c r="M17" s="129" t="n">
        <v>165.2193623254986</v>
      </c>
      <c r="N17" t="inlineStr">
        <is>
          <t>ivs</t>
        </is>
      </c>
    </row>
    <row r="18">
      <c r="A18" s="128" t="n">
        <v>46261</v>
      </c>
      <c r="B18" t="n">
        <v>29</v>
      </c>
      <c r="C18" s="129" t="n">
        <v>771.08</v>
      </c>
      <c r="D18" t="inlineStr">
        <is>
          <t>P 764 2026-09-25</t>
        </is>
      </c>
      <c r="E18" t="n">
        <v>2</v>
      </c>
      <c r="F18" s="130" t="n">
        <v>0.1235</v>
      </c>
      <c r="G18" s="131" t="n">
        <v>7.254867434612493</v>
      </c>
      <c r="H18" s="132" t="n">
        <v>1450.973486922499</v>
      </c>
      <c r="J18" s="133" t="n">
        <v>-76.19039061264546</v>
      </c>
      <c r="K18" s="129" t="n">
        <v>2.846140429659635</v>
      </c>
      <c r="L18" s="129" t="n">
        <v>-28.60122833543158</v>
      </c>
      <c r="M18" s="129" t="n">
        <v>165.2302457502444</v>
      </c>
      <c r="N18" t="inlineStr">
        <is>
          <t>ivs</t>
        </is>
      </c>
    </row>
    <row r="19">
      <c r="A19" s="134" t="n">
        <v>46261</v>
      </c>
      <c r="B19" s="127" t="n">
        <v>29</v>
      </c>
      <c r="C19" s="135" t="n">
        <v>771.08</v>
      </c>
      <c r="D19" s="127" t="inlineStr">
        <is>
          <t>POSITION</t>
        </is>
      </c>
      <c r="E19" s="127" t="n"/>
      <c r="F19" s="127" t="n"/>
      <c r="G19" s="127" t="n"/>
      <c r="H19" s="136" t="n">
        <v>4422.049906582879</v>
      </c>
      <c r="I19" s="137" t="n">
        <v>-283.950093417121</v>
      </c>
      <c r="J19" s="138" t="n">
        <v>47.63578068781095</v>
      </c>
      <c r="K19" s="135" t="n">
        <v>5.694399671858267</v>
      </c>
      <c r="L19" s="135" t="n">
        <v>-73.86530261213966</v>
      </c>
      <c r="M19" s="135" t="n">
        <v>330.449608075743</v>
      </c>
      <c r="N19" s="127" t="inlineStr">
        <is>
          <t>ivs</t>
        </is>
      </c>
    </row>
    <row r="21">
      <c r="A21" s="128" t="n">
        <v>46262</v>
      </c>
      <c r="B21" t="n">
        <v>28</v>
      </c>
      <c r="C21" s="129" t="n">
        <v>769.27</v>
      </c>
      <c r="D21" t="inlineStr">
        <is>
          <t>C 764 2026-09-25</t>
        </is>
      </c>
      <c r="E21" t="n">
        <v>2</v>
      </c>
      <c r="F21" s="130" t="n">
        <v>0.119</v>
      </c>
      <c r="G21" s="131" t="n">
        <v>13.16707953286669</v>
      </c>
      <c r="H21" s="132" t="n">
        <v>2633.415906573339</v>
      </c>
      <c r="J21" s="133" t="n">
        <v>119.2217938841557</v>
      </c>
      <c r="K21" s="129" t="n">
        <v>3.062671777441167</v>
      </c>
      <c r="L21" s="129" t="n">
        <v>-44.72280090295384</v>
      </c>
      <c r="M21" s="129" t="n">
        <v>164.636893067141</v>
      </c>
      <c r="N21" t="inlineStr">
        <is>
          <t>ivs</t>
        </is>
      </c>
    </row>
    <row r="22">
      <c r="A22" s="128" t="n">
        <v>46262</v>
      </c>
      <c r="B22" t="n">
        <v>28</v>
      </c>
      <c r="C22" s="129" t="n">
        <v>769.27</v>
      </c>
      <c r="D22" t="inlineStr">
        <is>
          <t>P 764 2026-09-25</t>
        </is>
      </c>
      <c r="E22" t="n">
        <v>2</v>
      </c>
      <c r="F22" s="130" t="n">
        <v>0.119</v>
      </c>
      <c r="G22" s="131" t="n">
        <v>7.451976292940515</v>
      </c>
      <c r="H22" s="132" t="n">
        <v>1490.395258588103</v>
      </c>
      <c r="J22" s="133" t="n">
        <v>-80.77820611584427</v>
      </c>
      <c r="K22" s="129" t="n">
        <v>3.062671777441167</v>
      </c>
      <c r="L22" s="129" t="n">
        <v>-28.02889921889503</v>
      </c>
      <c r="M22" s="129" t="n">
        <v>164.636893067141</v>
      </c>
      <c r="N22" t="inlineStr">
        <is>
          <t>ivs</t>
        </is>
      </c>
    </row>
    <row r="23">
      <c r="A23" s="134" t="n">
        <v>46262</v>
      </c>
      <c r="B23" s="127" t="n">
        <v>28</v>
      </c>
      <c r="C23" s="135" t="n">
        <v>769.27</v>
      </c>
      <c r="D23" s="127" t="inlineStr">
        <is>
          <t>POSITION</t>
        </is>
      </c>
      <c r="E23" s="127" t="n"/>
      <c r="F23" s="127" t="n"/>
      <c r="G23" s="127" t="n"/>
      <c r="H23" s="136" t="n">
        <v>4123.811165161442</v>
      </c>
      <c r="I23" s="137" t="n">
        <v>-582.1888348385583</v>
      </c>
      <c r="J23" s="138" t="n">
        <v>38.44358776831146</v>
      </c>
      <c r="K23" s="135" t="n">
        <v>6.125343554882335</v>
      </c>
      <c r="L23" s="135" t="n">
        <v>-72.75170012184887</v>
      </c>
      <c r="M23" s="135" t="n">
        <v>329.273786134282</v>
      </c>
      <c r="N23" s="127" t="inlineStr">
        <is>
          <t>ivs</t>
        </is>
      </c>
    </row>
    <row r="25">
      <c r="A25" s="128" t="n">
        <v>46265</v>
      </c>
      <c r="B25" t="n">
        <v>25</v>
      </c>
      <c r="C25" s="129" t="n">
        <v>767.02</v>
      </c>
      <c r="D25" t="inlineStr">
        <is>
          <t>C 764 2026-09-25</t>
        </is>
      </c>
      <c r="E25" t="n">
        <v>2</v>
      </c>
      <c r="F25" s="130" t="n">
        <v>0.1207</v>
      </c>
      <c r="G25" s="131" t="n">
        <v>11.31378186134884</v>
      </c>
      <c r="H25" s="132" t="n">
        <v>2262.756372269769</v>
      </c>
      <c r="J25" s="133" t="n">
        <v>111.8489563413794</v>
      </c>
      <c r="K25" s="129" t="n">
        <v>3.264773905547078</v>
      </c>
      <c r="L25" s="129" t="n">
        <v>-47.27288143988002</v>
      </c>
      <c r="M25" s="129" t="n">
        <v>158.0050196886602</v>
      </c>
      <c r="N25" t="inlineStr">
        <is>
          <t>ivs</t>
        </is>
      </c>
    </row>
    <row r="26">
      <c r="A26" s="128" t="n">
        <v>46265</v>
      </c>
      <c r="B26" t="n">
        <v>25</v>
      </c>
      <c r="C26" s="129" t="n">
        <v>767.02</v>
      </c>
      <c r="D26" t="inlineStr">
        <is>
          <t>P 764 2026-09-25</t>
        </is>
      </c>
      <c r="E26" t="n">
        <v>2</v>
      </c>
      <c r="F26" s="130" t="n">
        <v>0.1207</v>
      </c>
      <c r="G26" s="131" t="n">
        <v>8.099751638317855</v>
      </c>
      <c r="H26" s="132" t="n">
        <v>1619.950327663571</v>
      </c>
      <c r="J26" s="133" t="n">
        <v>-88.15104365862058</v>
      </c>
      <c r="K26" s="129" t="n">
        <v>3.264773905547078</v>
      </c>
      <c r="L26" s="129" t="n">
        <v>-30.57349044748549</v>
      </c>
      <c r="M26" s="129" t="n">
        <v>158.0050196886602</v>
      </c>
      <c r="N26" t="inlineStr">
        <is>
          <t>ivs</t>
        </is>
      </c>
    </row>
    <row r="27">
      <c r="A27" s="134" t="n">
        <v>46265</v>
      </c>
      <c r="B27" s="127" t="n">
        <v>25</v>
      </c>
      <c r="C27" s="135" t="n">
        <v>767.02</v>
      </c>
      <c r="D27" s="127" t="inlineStr">
        <is>
          <t>POSITION</t>
        </is>
      </c>
      <c r="E27" s="127" t="n"/>
      <c r="F27" s="127" t="n"/>
      <c r="G27" s="127" t="n"/>
      <c r="H27" s="136" t="n">
        <v>3882.70669993334</v>
      </c>
      <c r="I27" s="137" t="n">
        <v>-823.2933000666603</v>
      </c>
      <c r="J27" s="138" t="n">
        <v>23.69791268275884</v>
      </c>
      <c r="K27" s="135" t="n">
        <v>6.529547811094156</v>
      </c>
      <c r="L27" s="135" t="n">
        <v>-77.84637188736551</v>
      </c>
      <c r="M27" s="135" t="n">
        <v>316.0100393773204</v>
      </c>
      <c r="N27" s="127" t="inlineStr">
        <is>
          <t>ivs</t>
        </is>
      </c>
    </row>
    <row r="29">
      <c r="A29" s="128" t="n">
        <v>46266</v>
      </c>
      <c r="B29" t="n">
        <v>24</v>
      </c>
      <c r="C29" s="129" t="n">
        <v>761.72</v>
      </c>
      <c r="D29" t="inlineStr">
        <is>
          <t>C 764 2026-09-25</t>
        </is>
      </c>
      <c r="E29" t="n">
        <v>2</v>
      </c>
      <c r="F29" s="130" t="n">
        <v>0.1272806394268537</v>
      </c>
      <c r="G29" s="131" t="n">
        <v>8.860000000000014</v>
      </c>
      <c r="H29" s="132" t="n">
        <v>1772.000000000003</v>
      </c>
      <c r="J29" s="133" t="n">
        <v>94.33603774031737</v>
      </c>
      <c r="K29" s="129" t="n">
        <v>3.209295405256702</v>
      </c>
      <c r="L29" s="129" t="n">
        <v>-48.77948934541502</v>
      </c>
      <c r="M29" s="129" t="n">
        <v>155.0657572920441</v>
      </c>
      <c r="N29" t="inlineStr">
        <is>
          <t>mids</t>
        </is>
      </c>
    </row>
    <row r="30">
      <c r="A30" s="128" t="n">
        <v>46266</v>
      </c>
      <c r="B30" t="n">
        <v>24</v>
      </c>
      <c r="C30" s="129" t="n">
        <v>761.72</v>
      </c>
      <c r="D30" t="inlineStr">
        <is>
          <t>P 764 2026-09-25</t>
        </is>
      </c>
      <c r="E30" t="n">
        <v>2</v>
      </c>
      <c r="F30" s="130" t="n">
        <v>0.1289614053538699</v>
      </c>
      <c r="G30" s="131" t="n">
        <v>11.16000000000003</v>
      </c>
      <c r="H30" s="132" t="n">
        <v>2232.000000000005</v>
      </c>
      <c r="J30" s="133" t="n">
        <v>-105.556184525366</v>
      </c>
      <c r="K30" s="129" t="n">
        <v>3.167770206469147</v>
      </c>
      <c r="L30" s="129" t="n">
        <v>-32.63133403753032</v>
      </c>
      <c r="M30" s="129" t="n">
        <v>155.0805343442851</v>
      </c>
      <c r="N30" t="inlineStr">
        <is>
          <t>mids</t>
        </is>
      </c>
    </row>
    <row r="31">
      <c r="A31" s="134" t="n">
        <v>46266</v>
      </c>
      <c r="B31" s="127" t="n">
        <v>24</v>
      </c>
      <c r="C31" s="135" t="n">
        <v>761.72</v>
      </c>
      <c r="D31" s="127" t="inlineStr">
        <is>
          <t>POSITION</t>
        </is>
      </c>
      <c r="E31" s="127" t="n"/>
      <c r="F31" s="127" t="n"/>
      <c r="G31" s="127" t="n"/>
      <c r="H31" s="136" t="n">
        <v>4004.000000000008</v>
      </c>
      <c r="I31" s="137" t="n">
        <v>-701.9999999999923</v>
      </c>
      <c r="J31" s="138" t="n">
        <v>-11.22014678504863</v>
      </c>
      <c r="K31" s="135" t="n">
        <v>6.377065611725849</v>
      </c>
      <c r="L31" s="135" t="n">
        <v>-81.41082338294534</v>
      </c>
      <c r="M31" s="135" t="n">
        <v>310.1462916363292</v>
      </c>
      <c r="N31" s="127" t="inlineStr">
        <is>
          <t>mids</t>
        </is>
      </c>
    </row>
    <row r="33">
      <c r="A33" s="128" t="n">
        <v>46267</v>
      </c>
      <c r="B33" t="n">
        <v>23</v>
      </c>
      <c r="C33" s="129" t="n">
        <v>765.2</v>
      </c>
      <c r="D33" t="inlineStr">
        <is>
          <t>C 764 2026-09-25</t>
        </is>
      </c>
      <c r="E33" t="n">
        <v>2</v>
      </c>
      <c r="F33" s="130" t="n">
        <v>0.1245691982887395</v>
      </c>
      <c r="G33" s="131" t="n">
        <v>10.13999999999999</v>
      </c>
      <c r="H33" s="132" t="n">
        <v>2027.999999999997</v>
      </c>
      <c r="J33" s="133" t="n">
        <v>105.3471100799412</v>
      </c>
      <c r="K33" s="129" t="n">
        <v>3.335324127467399</v>
      </c>
      <c r="L33" s="129" t="n">
        <v>-49.89768852649578</v>
      </c>
      <c r="M33" s="129" t="n">
        <v>152.5379826932031</v>
      </c>
      <c r="N33" t="inlineStr">
        <is>
          <t>mids</t>
        </is>
      </c>
    </row>
    <row r="34">
      <c r="A34" s="128" t="n">
        <v>46267</v>
      </c>
      <c r="B34" t="n">
        <v>23</v>
      </c>
      <c r="C34" s="129" t="n">
        <v>765.2</v>
      </c>
      <c r="D34" t="inlineStr">
        <is>
          <t>P 764 2026-09-25</t>
        </is>
      </c>
      <c r="E34" t="n">
        <v>2</v>
      </c>
      <c r="F34" s="130" t="n">
        <v>0.1216400376141611</v>
      </c>
      <c r="G34" s="131" t="n">
        <v>8.689999999999941</v>
      </c>
      <c r="H34" s="132" t="n">
        <v>1737.999999999988</v>
      </c>
      <c r="J34" s="133" t="n">
        <v>-94.58356439001872</v>
      </c>
      <c r="K34" s="129" t="n">
        <v>3.415439834166882</v>
      </c>
      <c r="L34" s="129" t="n">
        <v>-32.23163907805948</v>
      </c>
      <c r="M34" s="129" t="n">
        <v>152.5290161950103</v>
      </c>
      <c r="N34" t="inlineStr">
        <is>
          <t>mids</t>
        </is>
      </c>
    </row>
    <row r="35">
      <c r="A35" s="134" t="n">
        <v>46267</v>
      </c>
      <c r="B35" s="127" t="n">
        <v>23</v>
      </c>
      <c r="C35" s="135" t="n">
        <v>765.2</v>
      </c>
      <c r="D35" s="127" t="inlineStr">
        <is>
          <t>POSITION</t>
        </is>
      </c>
      <c r="E35" s="127" t="n"/>
      <c r="F35" s="127" t="n"/>
      <c r="G35" s="127" t="n"/>
      <c r="H35" s="136" t="n">
        <v>3765.999999999985</v>
      </c>
      <c r="I35" s="137" t="n">
        <v>-940.0000000000146</v>
      </c>
      <c r="J35" s="138" t="n">
        <v>10.76354568992245</v>
      </c>
      <c r="K35" s="135" t="n">
        <v>6.750763961634281</v>
      </c>
      <c r="L35" s="135" t="n">
        <v>-82.12932760455526</v>
      </c>
      <c r="M35" s="135" t="n">
        <v>305.0669988882134</v>
      </c>
      <c r="N35" s="127" t="inlineStr">
        <is>
          <t>mids</t>
        </is>
      </c>
    </row>
    <row r="37">
      <c r="A37" s="128" t="n">
        <v>46268</v>
      </c>
      <c r="B37" t="n">
        <v>22</v>
      </c>
      <c r="C37" s="129" t="n">
        <v>772.8</v>
      </c>
      <c r="D37" t="inlineStr">
        <is>
          <t>C 764 2026-09-25</t>
        </is>
      </c>
      <c r="E37" t="n">
        <v>2</v>
      </c>
      <c r="F37" s="130" t="n">
        <v>0.1313112226167947</v>
      </c>
      <c r="G37" s="131" t="n">
        <v>14.84000000000003</v>
      </c>
      <c r="H37" s="132" t="n">
        <v>2968.000000000006</v>
      </c>
      <c r="J37" s="133" t="n">
        <v>128.8559709446727</v>
      </c>
      <c r="K37" s="129" t="n">
        <v>2.998185580062183</v>
      </c>
      <c r="L37" s="129" t="n">
        <v>-52.64694439047501</v>
      </c>
      <c r="M37" s="129" t="n">
        <v>141.0229450270705</v>
      </c>
      <c r="N37" t="inlineStr">
        <is>
          <t>mids</t>
        </is>
      </c>
    </row>
    <row r="38">
      <c r="A38" s="128" t="n">
        <v>46268</v>
      </c>
      <c r="B38" t="n">
        <v>22</v>
      </c>
      <c r="C38" s="129" t="n">
        <v>772.8</v>
      </c>
      <c r="D38" t="inlineStr">
        <is>
          <t>P 764 2026-09-25</t>
        </is>
      </c>
      <c r="E38" t="n">
        <v>2</v>
      </c>
      <c r="F38" s="130" t="n">
        <v>0.1228060480457587</v>
      </c>
      <c r="G38" s="131" t="n">
        <v>5.5</v>
      </c>
      <c r="H38" s="132" t="n">
        <v>1100</v>
      </c>
      <c r="J38" s="133" t="n">
        <v>-69.40375535921213</v>
      </c>
      <c r="K38" s="129" t="n">
        <v>3.177256180891282</v>
      </c>
      <c r="L38" s="129" t="n">
        <v>-33.02537703960493</v>
      </c>
      <c r="M38" s="129" t="n">
        <v>139.7659603357122</v>
      </c>
      <c r="N38" t="inlineStr">
        <is>
          <t>mids</t>
        </is>
      </c>
    </row>
    <row r="39">
      <c r="A39" s="134" t="n">
        <v>46268</v>
      </c>
      <c r="B39" s="127" t="n">
        <v>22</v>
      </c>
      <c r="C39" s="135" t="n">
        <v>772.8</v>
      </c>
      <c r="D39" s="127" t="inlineStr">
        <is>
          <t>POSITION</t>
        </is>
      </c>
      <c r="E39" s="127" t="n"/>
      <c r="F39" s="127" t="n"/>
      <c r="G39" s="127" t="n"/>
      <c r="H39" s="136" t="n">
        <v>4068.000000000006</v>
      </c>
      <c r="I39" s="137" t="n">
        <v>-637.9999999999936</v>
      </c>
      <c r="J39" s="138" t="n">
        <v>59.45221558546054</v>
      </c>
      <c r="K39" s="135" t="n">
        <v>6.175441760953465</v>
      </c>
      <c r="L39" s="135" t="n">
        <v>-85.67232143007995</v>
      </c>
      <c r="M39" s="135" t="n">
        <v>280.7889053627827</v>
      </c>
      <c r="N39" s="127" t="inlineStr">
        <is>
          <t>mids</t>
        </is>
      </c>
    </row>
    <row r="41">
      <c r="A41" s="128" t="n">
        <v>46269</v>
      </c>
      <c r="B41" t="n">
        <v>21</v>
      </c>
      <c r="C41" s="129" t="n">
        <v>770.24</v>
      </c>
      <c r="D41" t="inlineStr">
        <is>
          <t>C 764 2026-09-25</t>
        </is>
      </c>
      <c r="E41" t="n">
        <v>2</v>
      </c>
      <c r="F41" s="130" t="n">
        <v>0.1124341201301069</v>
      </c>
      <c r="G41" s="131" t="n">
        <v>11.64000000000004</v>
      </c>
      <c r="H41" s="132" t="n">
        <v>2328.000000000009</v>
      </c>
      <c r="J41" s="133" t="n">
        <v>124.2679011917335</v>
      </c>
      <c r="K41" s="129" t="n">
        <v>3.671048314520021</v>
      </c>
      <c r="L41" s="129" t="n">
        <v>-47.73805505157955</v>
      </c>
      <c r="M41" s="129" t="n">
        <v>140.1925178047821</v>
      </c>
      <c r="N41" t="inlineStr">
        <is>
          <t>mids</t>
        </is>
      </c>
    </row>
    <row r="42">
      <c r="A42" s="128" t="n">
        <v>46269</v>
      </c>
      <c r="B42" t="n">
        <v>21</v>
      </c>
      <c r="C42" s="129" t="n">
        <v>770.24</v>
      </c>
      <c r="D42" t="inlineStr">
        <is>
          <t>P 764 2026-09-25</t>
        </is>
      </c>
      <c r="E42" t="n">
        <v>2</v>
      </c>
      <c r="F42" s="130" t="n">
        <v>0.1240723368307451</v>
      </c>
      <c r="G42" s="131" t="n">
        <v>6.3599999999999</v>
      </c>
      <c r="H42" s="132" t="n">
        <v>1271.99999999998</v>
      </c>
      <c r="J42" s="133" t="n">
        <v>-77.74248206658739</v>
      </c>
      <c r="K42" s="129" t="n">
        <v>3.352705636588027</v>
      </c>
      <c r="L42" s="129" t="n">
        <v>-35.05263242815764</v>
      </c>
      <c r="M42" s="129" t="n">
        <v>141.2885591577515</v>
      </c>
      <c r="N42" t="inlineStr">
        <is>
          <t>mids</t>
        </is>
      </c>
    </row>
    <row r="43">
      <c r="A43" s="134" t="n">
        <v>46269</v>
      </c>
      <c r="B43" s="127" t="n">
        <v>21</v>
      </c>
      <c r="C43" s="135" t="n">
        <v>770.24</v>
      </c>
      <c r="D43" s="127" t="inlineStr">
        <is>
          <t>POSITION</t>
        </is>
      </c>
      <c r="E43" s="127" t="n"/>
      <c r="F43" s="127" t="n"/>
      <c r="G43" s="127" t="n"/>
      <c r="H43" s="136" t="n">
        <v>3599.999999999989</v>
      </c>
      <c r="I43" s="137" t="n">
        <v>-1106.000000000011</v>
      </c>
      <c r="J43" s="138" t="n">
        <v>46.52541912514613</v>
      </c>
      <c r="K43" s="135" t="n">
        <v>7.023753951108048</v>
      </c>
      <c r="L43" s="135" t="n">
        <v>-82.79068747973719</v>
      </c>
      <c r="M43" s="135" t="n">
        <v>281.4810769625335</v>
      </c>
      <c r="N43" s="127" t="inlineStr">
        <is>
          <t>mids</t>
        </is>
      </c>
    </row>
    <row r="45">
      <c r="A45" s="128" t="n">
        <v>46273</v>
      </c>
      <c r="B45" t="n">
        <v>17</v>
      </c>
      <c r="C45" s="129" t="n">
        <v>765.96</v>
      </c>
      <c r="D45" t="inlineStr">
        <is>
          <t>C 764 2026-09-25</t>
        </is>
      </c>
      <c r="E45" t="n">
        <v>2</v>
      </c>
      <c r="F45" s="130" t="n">
        <v>0.124724273089243</v>
      </c>
      <c r="G45" s="131" t="n">
        <v>8.959999999999866</v>
      </c>
      <c r="H45" s="132" t="n">
        <v>1791.999999999973</v>
      </c>
      <c r="J45" s="133" t="n">
        <v>106.828727975971</v>
      </c>
      <c r="K45" s="129" t="n">
        <v>3.865342080846072</v>
      </c>
      <c r="L45" s="129" t="n">
        <v>-56.83531710152412</v>
      </c>
      <c r="M45" s="129" t="n">
        <v>131.0847793063395</v>
      </c>
      <c r="N45" t="inlineStr">
        <is>
          <t>mids</t>
        </is>
      </c>
    </row>
    <row r="46">
      <c r="A46" s="128" t="n">
        <v>46273</v>
      </c>
      <c r="B46" t="n">
        <v>17</v>
      </c>
      <c r="C46" s="129" t="n">
        <v>765.96</v>
      </c>
      <c r="D46" t="inlineStr">
        <is>
          <t>P 764 2026-09-25</t>
        </is>
      </c>
      <c r="E46" t="n">
        <v>2</v>
      </c>
      <c r="F46" s="130" t="n">
        <v>0.1272278492370571</v>
      </c>
      <c r="G46" s="131" t="n">
        <v>7.63999999999993</v>
      </c>
      <c r="H46" s="132" t="n">
        <v>1527.999999999986</v>
      </c>
      <c r="J46" s="133" t="n">
        <v>-93.26279343070669</v>
      </c>
      <c r="K46" s="129" t="n">
        <v>3.789651599440137</v>
      </c>
      <c r="L46" s="129" t="n">
        <v>-41.08006311656375</v>
      </c>
      <c r="M46" s="129" t="n">
        <v>131.0976242784704</v>
      </c>
      <c r="N46" t="inlineStr">
        <is>
          <t>mids</t>
        </is>
      </c>
    </row>
    <row r="47">
      <c r="A47" s="134" t="n">
        <v>46273</v>
      </c>
      <c r="B47" s="127" t="n">
        <v>17</v>
      </c>
      <c r="C47" s="135" t="n">
        <v>765.96</v>
      </c>
      <c r="D47" s="127" t="inlineStr">
        <is>
          <t>POSITION</t>
        </is>
      </c>
      <c r="E47" s="127" t="n"/>
      <c r="F47" s="127" t="n"/>
      <c r="G47" s="127" t="n"/>
      <c r="H47" s="136" t="n">
        <v>3319.999999999959</v>
      </c>
      <c r="I47" s="137" t="n">
        <v>-1386.000000000041</v>
      </c>
      <c r="J47" s="138" t="n">
        <v>13.56593454526435</v>
      </c>
      <c r="K47" s="135" t="n">
        <v>7.654993680286209</v>
      </c>
      <c r="L47" s="135" t="n">
        <v>-97.91538021808788</v>
      </c>
      <c r="M47" s="135" t="n">
        <v>262.1824035848099</v>
      </c>
      <c r="N47" s="127" t="inlineStr">
        <is>
          <t>mids</t>
        </is>
      </c>
    </row>
    <row r="49">
      <c r="A49" s="128" t="n">
        <v>46274</v>
      </c>
      <c r="B49" t="n">
        <v>16</v>
      </c>
      <c r="C49" s="129" t="n">
        <v>762.45</v>
      </c>
      <c r="D49" t="inlineStr">
        <is>
          <t>C 764 2026-09-25</t>
        </is>
      </c>
      <c r="E49" t="n">
        <v>2</v>
      </c>
      <c r="F49" s="130" t="n">
        <v>0.1275101439996146</v>
      </c>
      <c r="G49" s="131" t="n">
        <v>7.099999999999966</v>
      </c>
      <c r="H49" s="132" t="n">
        <v>1419.999999999993</v>
      </c>
      <c r="J49" s="133" t="n">
        <v>92.79603592164905</v>
      </c>
      <c r="K49" s="129" t="n">
        <v>3.913613373231174</v>
      </c>
      <c r="L49" s="129" t="n">
        <v>-57.99868847864656</v>
      </c>
      <c r="M49" s="129" t="n">
        <v>126.5340632401105</v>
      </c>
      <c r="N49" t="inlineStr">
        <is>
          <t>mids</t>
        </is>
      </c>
    </row>
    <row r="50">
      <c r="A50" s="128" t="n">
        <v>46274</v>
      </c>
      <c r="B50" t="n">
        <v>16</v>
      </c>
      <c r="C50" s="129" t="n">
        <v>762.45</v>
      </c>
      <c r="D50" t="inlineStr">
        <is>
          <t>P 764 2026-09-25</t>
        </is>
      </c>
      <c r="E50" t="n">
        <v>2</v>
      </c>
      <c r="F50" s="130" t="n">
        <v>0.1369952749403051</v>
      </c>
      <c r="G50" s="131" t="n">
        <v>9.810000000000002</v>
      </c>
      <c r="H50" s="132" t="n">
        <v>1962</v>
      </c>
      <c r="J50" s="133" t="n">
        <v>-106.5539659089086</v>
      </c>
      <c r="K50" s="129" t="n">
        <v>3.645218933626811</v>
      </c>
      <c r="L50" s="129" t="n">
        <v>-45.11268794385083</v>
      </c>
      <c r="M50" s="129" t="n">
        <v>126.6234098073118</v>
      </c>
      <c r="N50" t="inlineStr">
        <is>
          <t>mids</t>
        </is>
      </c>
    </row>
    <row r="51">
      <c r="A51" s="134" t="n">
        <v>46274</v>
      </c>
      <c r="B51" s="127" t="n">
        <v>16</v>
      </c>
      <c r="C51" s="135" t="n">
        <v>762.45</v>
      </c>
      <c r="D51" s="127" t="inlineStr">
        <is>
          <t>POSITION</t>
        </is>
      </c>
      <c r="E51" s="127" t="n"/>
      <c r="F51" s="127" t="n"/>
      <c r="G51" s="127" t="n"/>
      <c r="H51" s="136" t="n">
        <v>3381.999999999994</v>
      </c>
      <c r="I51" s="137" t="n">
        <v>-1324.000000000006</v>
      </c>
      <c r="J51" s="138" t="n">
        <v>-13.75792998725959</v>
      </c>
      <c r="K51" s="135" t="n">
        <v>7.558832306857985</v>
      </c>
      <c r="L51" s="135" t="n">
        <v>-103.1113764224974</v>
      </c>
      <c r="M51" s="135" t="n">
        <v>253.1574730474223</v>
      </c>
      <c r="N51" s="127" t="inlineStr">
        <is>
          <t>mids</t>
        </is>
      </c>
    </row>
    <row r="53">
      <c r="A53" s="128" t="n">
        <v>46275</v>
      </c>
      <c r="B53" t="n">
        <v>15</v>
      </c>
      <c r="C53" s="129" t="n">
        <v>757.83</v>
      </c>
      <c r="D53" t="inlineStr">
        <is>
          <t>C 764 2026-09-25</t>
        </is>
      </c>
      <c r="E53" t="n">
        <v>2</v>
      </c>
      <c r="F53" s="130" t="n">
        <v>0.1397159811454419</v>
      </c>
      <c r="G53" s="131" t="n">
        <v>5.599999999999966</v>
      </c>
      <c r="H53" s="132" t="n">
        <v>1119.999999999993</v>
      </c>
      <c r="J53" s="133" t="n">
        <v>76.21622738301186</v>
      </c>
      <c r="K53" s="129" t="n">
        <v>3.559780160145883</v>
      </c>
      <c r="L53" s="129" t="n">
        <v>-60.58597418979893</v>
      </c>
      <c r="M53" s="129" t="n">
        <v>116.7972811688534</v>
      </c>
      <c r="N53" t="inlineStr">
        <is>
          <t>mids</t>
        </is>
      </c>
    </row>
    <row r="54">
      <c r="A54" s="128" t="n">
        <v>46275</v>
      </c>
      <c r="B54" t="n">
        <v>15</v>
      </c>
      <c r="C54" s="129" t="n">
        <v>757.83</v>
      </c>
      <c r="D54" t="inlineStr">
        <is>
          <t>P 764 2026-09-25</t>
        </is>
      </c>
      <c r="E54" t="n">
        <v>2</v>
      </c>
      <c r="F54" s="130" t="n">
        <v>0.1305487331229796</v>
      </c>
      <c r="G54" s="131" t="n">
        <v>11.88000000000005</v>
      </c>
      <c r="H54" s="132" t="n">
        <v>2376.00000000001</v>
      </c>
      <c r="J54" s="133" t="n">
        <v>-125.5437969353433</v>
      </c>
      <c r="K54" s="129" t="n">
        <v>3.782107594176437</v>
      </c>
      <c r="L54" s="129" t="n">
        <v>-39.79633821412698</v>
      </c>
      <c r="M54" s="129" t="n">
        <v>115.9498020118525</v>
      </c>
      <c r="N54" t="inlineStr">
        <is>
          <t>mids</t>
        </is>
      </c>
    </row>
    <row r="55">
      <c r="A55" s="134" t="n">
        <v>46275</v>
      </c>
      <c r="B55" s="127" t="n">
        <v>15</v>
      </c>
      <c r="C55" s="135" t="n">
        <v>757.83</v>
      </c>
      <c r="D55" s="127" t="inlineStr">
        <is>
          <t>POSITION</t>
        </is>
      </c>
      <c r="E55" s="127" t="n"/>
      <c r="F55" s="127" t="n"/>
      <c r="G55" s="127" t="n"/>
      <c r="H55" s="136" t="n">
        <v>3496.000000000004</v>
      </c>
      <c r="I55" s="137" t="n">
        <v>-1209.999999999996</v>
      </c>
      <c r="J55" s="138" t="n">
        <v>-49.3275695523314</v>
      </c>
      <c r="K55" s="135" t="n">
        <v>7.34188775432232</v>
      </c>
      <c r="L55" s="135" t="n">
        <v>-100.3823124039259</v>
      </c>
      <c r="M55" s="135" t="n">
        <v>232.7470831807059</v>
      </c>
      <c r="N55" s="127" t="inlineStr">
        <is>
          <t>mids</t>
        </is>
      </c>
    </row>
    <row r="57">
      <c r="A57" s="128" t="n">
        <v>46276</v>
      </c>
      <c r="B57" t="n">
        <v>14</v>
      </c>
      <c r="C57" s="129" t="n">
        <v>764.29</v>
      </c>
      <c r="D57" t="inlineStr">
        <is>
          <t>C 764 2026-09-25</t>
        </is>
      </c>
      <c r="E57" t="n">
        <v>2</v>
      </c>
      <c r="F57" s="130" t="n">
        <v>0.1172564072258912</v>
      </c>
      <c r="G57" s="131" t="n">
        <v>6.769999999999982</v>
      </c>
      <c r="H57" s="132" t="n">
        <v>1353.999999999996</v>
      </c>
      <c r="J57" s="133" t="n">
        <v>98.92394359224147</v>
      </c>
      <c r="K57" s="129" t="n">
        <v>4.556888204220624</v>
      </c>
      <c r="L57" s="129" t="n">
        <v>-58.00223220305857</v>
      </c>
      <c r="M57" s="129" t="n">
        <v>119.1231504409703</v>
      </c>
      <c r="N57" t="inlineStr">
        <is>
          <t>mids</t>
        </is>
      </c>
    </row>
    <row r="58">
      <c r="A58" s="128" t="n">
        <v>46276</v>
      </c>
      <c r="B58" t="n">
        <v>14</v>
      </c>
      <c r="C58" s="129" t="n">
        <v>764.29</v>
      </c>
      <c r="D58" t="inlineStr">
        <is>
          <t>P 764 2026-09-25</t>
        </is>
      </c>
      <c r="E58" t="n">
        <v>2</v>
      </c>
      <c r="F58" s="130" t="n">
        <v>0.11780579811118</v>
      </c>
      <c r="G58" s="131" t="n">
        <v>7.240000000000009</v>
      </c>
      <c r="H58" s="132" t="n">
        <v>1448.000000000002</v>
      </c>
      <c r="J58" s="133" t="n">
        <v>-101.0624742958743</v>
      </c>
      <c r="K58" s="129" t="n">
        <v>4.53564736709184</v>
      </c>
      <c r="L58" s="129" t="n">
        <v>-41.51696298267226</v>
      </c>
      <c r="M58" s="129" t="n">
        <v>119.1234222233793</v>
      </c>
      <c r="N58" t="inlineStr">
        <is>
          <t>mids</t>
        </is>
      </c>
    </row>
    <row r="59">
      <c r="A59" s="134" t="n">
        <v>46276</v>
      </c>
      <c r="B59" s="127" t="n">
        <v>14</v>
      </c>
      <c r="C59" s="135" t="n">
        <v>764.29</v>
      </c>
      <c r="D59" s="127" t="inlineStr">
        <is>
          <t>POSITION</t>
        </is>
      </c>
      <c r="E59" s="127" t="n"/>
      <c r="F59" s="127" t="n"/>
      <c r="G59" s="127" t="n"/>
      <c r="H59" s="136" t="n">
        <v>2801.999999999998</v>
      </c>
      <c r="I59" s="137" t="n">
        <v>-1904.000000000002</v>
      </c>
      <c r="J59" s="138" t="n">
        <v>-2.138530703632782</v>
      </c>
      <c r="K59" s="135" t="n">
        <v>9.092535571312464</v>
      </c>
      <c r="L59" s="135" t="n">
        <v>-99.51919518573084</v>
      </c>
      <c r="M59" s="135" t="n">
        <v>238.2465726643496</v>
      </c>
      <c r="N59" s="127" t="inlineStr">
        <is>
          <t>mids</t>
        </is>
      </c>
    </row>
    <row r="61">
      <c r="A61" s="128" t="n">
        <v>46279</v>
      </c>
      <c r="B61" t="n">
        <v>11</v>
      </c>
      <c r="C61" s="129" t="n">
        <v>760.88</v>
      </c>
      <c r="D61" t="inlineStr">
        <is>
          <t>C 764 2026-09-25</t>
        </is>
      </c>
      <c r="E61" t="n">
        <v>2</v>
      </c>
      <c r="F61" s="130" t="n">
        <v>0.1288972053612491</v>
      </c>
      <c r="G61" s="131" t="n">
        <v>4.939999999999998</v>
      </c>
      <c r="H61" s="132" t="n">
        <v>987.9999999999995</v>
      </c>
      <c r="J61" s="133" t="n">
        <v>81.84800044442076</v>
      </c>
      <c r="K61" s="129" t="n">
        <v>4.575921877004535</v>
      </c>
      <c r="L61" s="129" t="n">
        <v>-66.69303612716847</v>
      </c>
      <c r="M61" s="129" t="n">
        <v>102.3961293219275</v>
      </c>
      <c r="N61" t="inlineStr">
        <is>
          <t>mids</t>
        </is>
      </c>
    </row>
    <row r="62">
      <c r="A62" s="128" t="n">
        <v>46279</v>
      </c>
      <c r="B62" t="n">
        <v>11</v>
      </c>
      <c r="C62" s="129" t="n">
        <v>760.88</v>
      </c>
      <c r="D62" t="inlineStr">
        <is>
          <t>P 764 2026-09-25</t>
        </is>
      </c>
      <c r="E62" t="n">
        <v>2</v>
      </c>
      <c r="F62" s="130" t="n">
        <v>0.1297030306321469</v>
      </c>
      <c r="G62" s="131" t="n">
        <v>9.079999999999984</v>
      </c>
      <c r="H62" s="132" t="n">
        <v>1815.999999999997</v>
      </c>
      <c r="J62" s="133" t="n">
        <v>-118.0303304090208</v>
      </c>
      <c r="K62" s="129" t="n">
        <v>4.549120724108286</v>
      </c>
      <c r="L62" s="129" t="n">
        <v>-50.37389752728577</v>
      </c>
      <c r="M62" s="129" t="n">
        <v>102.432795105212</v>
      </c>
      <c r="N62" t="inlineStr">
        <is>
          <t>mids</t>
        </is>
      </c>
    </row>
    <row r="63">
      <c r="A63" s="134" t="n">
        <v>46279</v>
      </c>
      <c r="B63" s="127" t="n">
        <v>11</v>
      </c>
      <c r="C63" s="135" t="n">
        <v>760.88</v>
      </c>
      <c r="D63" s="127" t="inlineStr">
        <is>
          <t>POSITION</t>
        </is>
      </c>
      <c r="E63" s="127" t="n"/>
      <c r="F63" s="127" t="n"/>
      <c r="G63" s="127" t="n"/>
      <c r="H63" s="136" t="n">
        <v>2803.999999999996</v>
      </c>
      <c r="I63" s="137" t="n">
        <v>-1902.000000000004</v>
      </c>
      <c r="J63" s="138" t="n">
        <v>-36.18232996460004</v>
      </c>
      <c r="K63" s="135" t="n">
        <v>9.125042601112821</v>
      </c>
      <c r="L63" s="135" t="n">
        <v>-117.0669336544542</v>
      </c>
      <c r="M63" s="135" t="n">
        <v>204.8289244271395</v>
      </c>
      <c r="N63" s="127" t="inlineStr">
        <is>
          <t>mids</t>
        </is>
      </c>
    </row>
    <row r="65">
      <c r="A65" s="128" t="n">
        <v>46280</v>
      </c>
      <c r="B65" t="n">
        <v>10</v>
      </c>
      <c r="C65" s="129" t="n">
        <v>757.4400000000001</v>
      </c>
      <c r="D65" t="inlineStr">
        <is>
          <t>C 764 2026-09-25</t>
        </is>
      </c>
      <c r="E65" t="n">
        <v>2</v>
      </c>
      <c r="F65" s="130" t="n">
        <v>0.1325780849605383</v>
      </c>
      <c r="G65" s="131" t="n">
        <v>3.52000000000001</v>
      </c>
      <c r="H65" s="132" t="n">
        <v>704.000000000002</v>
      </c>
      <c r="J65" s="133" t="n">
        <v>65.52573078018081</v>
      </c>
      <c r="K65" s="129" t="n">
        <v>4.355837401815717</v>
      </c>
      <c r="L65" s="129" t="n">
        <v>-65.21812861242226</v>
      </c>
      <c r="M65" s="129" t="n">
        <v>90.31630850713789</v>
      </c>
      <c r="N65" t="inlineStr">
        <is>
          <t>mids</t>
        </is>
      </c>
    </row>
    <row r="66">
      <c r="A66" s="128" t="n">
        <v>46280</v>
      </c>
      <c r="B66" t="n">
        <v>10</v>
      </c>
      <c r="C66" s="129" t="n">
        <v>757.4400000000001</v>
      </c>
      <c r="D66" t="inlineStr">
        <is>
          <t>P 764 2026-09-25</t>
        </is>
      </c>
      <c r="E66" t="n">
        <v>2</v>
      </c>
      <c r="F66" s="130" t="n">
        <v>0.1226947790012464</v>
      </c>
      <c r="G66" s="131" t="n">
        <v>10.69999999999982</v>
      </c>
      <c r="H66" s="132" t="n">
        <v>2139.999999999964</v>
      </c>
      <c r="J66" s="133" t="n">
        <v>-137.1711018927963</v>
      </c>
      <c r="K66" s="129" t="n">
        <v>4.624937249732262</v>
      </c>
      <c r="L66" s="129" t="n">
        <v>-42.85194921599461</v>
      </c>
      <c r="M66" s="129" t="n">
        <v>88.74720914441596</v>
      </c>
      <c r="N66" t="inlineStr">
        <is>
          <t>mids</t>
        </is>
      </c>
    </row>
    <row r="67">
      <c r="A67" s="134" t="n">
        <v>46280</v>
      </c>
      <c r="B67" s="127" t="n">
        <v>10</v>
      </c>
      <c r="C67" s="135" t="n">
        <v>757.4400000000001</v>
      </c>
      <c r="D67" s="127" t="inlineStr">
        <is>
          <t>POSITION</t>
        </is>
      </c>
      <c r="E67" s="127" t="n"/>
      <c r="F67" s="127" t="n"/>
      <c r="G67" s="127" t="n"/>
      <c r="H67" s="136" t="n">
        <v>2843.999999999965</v>
      </c>
      <c r="I67" s="137" t="n">
        <v>-1862.000000000035</v>
      </c>
      <c r="J67" s="138" t="n">
        <v>-71.64537111261551</v>
      </c>
      <c r="K67" s="135" t="n">
        <v>8.980774651547978</v>
      </c>
      <c r="L67" s="135" t="n">
        <v>-108.0700778284169</v>
      </c>
      <c r="M67" s="135" t="n">
        <v>179.0635176515539</v>
      </c>
      <c r="N67" s="127" t="inlineStr">
        <is>
          <t>mids</t>
        </is>
      </c>
    </row>
    <row r="69">
      <c r="A69" s="128" t="n">
        <v>46281</v>
      </c>
      <c r="B69" t="n">
        <v>9</v>
      </c>
      <c r="C69" s="129" t="n">
        <v>754.13</v>
      </c>
      <c r="D69" t="inlineStr">
        <is>
          <t>C 764 2026-09-25</t>
        </is>
      </c>
      <c r="E69" t="n">
        <v>2</v>
      </c>
      <c r="F69" s="130" t="n">
        <v>0.12796641030012</v>
      </c>
      <c r="G69" s="131" t="n">
        <v>2.090000000000032</v>
      </c>
      <c r="H69" s="132" t="n">
        <v>418.0000000000064</v>
      </c>
      <c r="J69" s="133" t="n">
        <v>47.55455611051273</v>
      </c>
      <c r="K69" s="129" t="n">
        <v>4.092391161547476</v>
      </c>
      <c r="L69" s="129" t="n">
        <v>-55.81992134409644</v>
      </c>
      <c r="M69" s="129" t="n">
        <v>73.06755086752496</v>
      </c>
      <c r="N69" t="inlineStr">
        <is>
          <t>mids</t>
        </is>
      </c>
    </row>
    <row r="70">
      <c r="A70" s="128" t="n">
        <v>46281</v>
      </c>
      <c r="B70" t="n">
        <v>9</v>
      </c>
      <c r="C70" s="129" t="n">
        <v>754.13</v>
      </c>
      <c r="D70" t="inlineStr">
        <is>
          <t>P 764 2026-09-25</t>
        </is>
      </c>
      <c r="E70" t="n">
        <v>2</v>
      </c>
      <c r="F70" s="130" t="n">
        <v>0.1294286435824983</v>
      </c>
      <c r="G70" s="131" t="n">
        <v>13.15999999999985</v>
      </c>
      <c r="H70" s="132" t="n">
        <v>2631.999999999971</v>
      </c>
      <c r="J70" s="133" t="n">
        <v>-151.9311870491276</v>
      </c>
      <c r="K70" s="129" t="n">
        <v>4.07001728138214</v>
      </c>
      <c r="L70" s="129" t="n">
        <v>-40.0358329068923</v>
      </c>
      <c r="M70" s="129" t="n">
        <v>73.49843271067009</v>
      </c>
      <c r="N70" t="inlineStr">
        <is>
          <t>mids</t>
        </is>
      </c>
    </row>
    <row r="71">
      <c r="A71" s="134" t="n">
        <v>46281</v>
      </c>
      <c r="B71" s="127" t="n">
        <v>9</v>
      </c>
      <c r="C71" s="135" t="n">
        <v>754.13</v>
      </c>
      <c r="D71" s="127" t="inlineStr">
        <is>
          <t>POSITION</t>
        </is>
      </c>
      <c r="E71" s="127" t="n"/>
      <c r="F71" s="127" t="n"/>
      <c r="G71" s="127" t="n"/>
      <c r="H71" s="136" t="n">
        <v>3049.999999999977</v>
      </c>
      <c r="I71" s="137" t="n">
        <v>-1656.000000000023</v>
      </c>
      <c r="J71" s="138" t="n">
        <v>-104.3766309386149</v>
      </c>
      <c r="K71" s="135" t="n">
        <v>8.162408442929616</v>
      </c>
      <c r="L71" s="135" t="n">
        <v>-95.85575425098874</v>
      </c>
      <c r="M71" s="135" t="n">
        <v>146.565983578195</v>
      </c>
      <c r="N71" s="127" t="inlineStr">
        <is>
          <t>mids</t>
        </is>
      </c>
    </row>
    <row r="73">
      <c r="A73" s="128" t="n">
        <v>46282</v>
      </c>
      <c r="B73" t="n">
        <v>8</v>
      </c>
      <c r="C73" s="129" t="n">
        <v>762.6</v>
      </c>
      <c r="D73" t="inlineStr">
        <is>
          <t>C 764 2026-09-25</t>
        </is>
      </c>
      <c r="E73" t="n">
        <v>2</v>
      </c>
      <c r="F73" s="130" t="n">
        <v>0.1082660132335709</v>
      </c>
      <c r="G73" s="131" t="n">
        <v>3.670000000000016</v>
      </c>
      <c r="H73" s="132" t="n">
        <v>734.0000000000032</v>
      </c>
      <c r="J73" s="133" t="n">
        <v>83.57466044089759</v>
      </c>
      <c r="K73" s="129" t="n">
        <v>6.404731809981715</v>
      </c>
      <c r="L73" s="129" t="n">
        <v>-66.39664483855215</v>
      </c>
      <c r="M73" s="129" t="n">
        <v>87.94624198137545</v>
      </c>
      <c r="N73" t="inlineStr">
        <is>
          <t>mids</t>
        </is>
      </c>
    </row>
    <row r="74">
      <c r="A74" s="128" t="n">
        <v>46282</v>
      </c>
      <c r="B74" t="n">
        <v>8</v>
      </c>
      <c r="C74" s="129" t="n">
        <v>762.6</v>
      </c>
      <c r="D74" t="inlineStr">
        <is>
          <t>P 764 2026-09-25</t>
        </is>
      </c>
      <c r="E74" t="n">
        <v>2</v>
      </c>
      <c r="F74" s="130" t="n">
        <v>0.1118955706319721</v>
      </c>
      <c r="G74" s="131" t="n">
        <v>6.459999999999923</v>
      </c>
      <c r="H74" s="132" t="n">
        <v>1291.999999999985</v>
      </c>
      <c r="J74" s="133" t="n">
        <v>-115.8584388664968</v>
      </c>
      <c r="K74" s="129" t="n">
        <v>6.206145639091941</v>
      </c>
      <c r="L74" s="129" t="n">
        <v>-51.79586347186378</v>
      </c>
      <c r="M74" s="129" t="n">
        <v>88.0762977768205</v>
      </c>
      <c r="N74" t="inlineStr">
        <is>
          <t>mids</t>
        </is>
      </c>
    </row>
    <row r="75">
      <c r="A75" s="134" t="n">
        <v>46282</v>
      </c>
      <c r="B75" s="127" t="n">
        <v>8</v>
      </c>
      <c r="C75" s="135" t="n">
        <v>762.6</v>
      </c>
      <c r="D75" s="127" t="inlineStr">
        <is>
          <t>POSITION</t>
        </is>
      </c>
      <c r="E75" s="127" t="n"/>
      <c r="F75" s="127" t="n"/>
      <c r="G75" s="127" t="n"/>
      <c r="H75" s="136" t="n">
        <v>2025.999999999988</v>
      </c>
      <c r="I75" s="137" t="n">
        <v>-2680.000000000012</v>
      </c>
      <c r="J75" s="138" t="n">
        <v>-32.28377842559919</v>
      </c>
      <c r="K75" s="135" t="n">
        <v>12.61087744907366</v>
      </c>
      <c r="L75" s="135" t="n">
        <v>-118.1925083104159</v>
      </c>
      <c r="M75" s="135" t="n">
        <v>176.0225397581959</v>
      </c>
      <c r="N75" s="127" t="inlineStr">
        <is>
          <t>mids</t>
        </is>
      </c>
    </row>
    <row r="77">
      <c r="A77" s="128" t="n">
        <v>46283</v>
      </c>
      <c r="B77" t="n">
        <v>7</v>
      </c>
      <c r="C77" s="129" t="n">
        <v>761.54</v>
      </c>
      <c r="D77" t="inlineStr">
        <is>
          <t>C 764 2026-09-25</t>
        </is>
      </c>
      <c r="E77" t="n">
        <v>2</v>
      </c>
      <c r="F77" s="130" t="n">
        <v>0.1122405339044915</v>
      </c>
      <c r="G77" s="131" t="n">
        <v>3.850000000000023</v>
      </c>
      <c r="H77" s="132" t="n">
        <v>770.0000000000045</v>
      </c>
      <c r="J77" s="133" t="n">
        <v>88.04793079121943</v>
      </c>
      <c r="K77" s="129" t="n">
        <v>6.664777118516933</v>
      </c>
      <c r="L77" s="129" t="n">
        <v>-73.96713493078747</v>
      </c>
      <c r="M77" s="129" t="n">
        <v>83.2005063135356</v>
      </c>
      <c r="N77" t="inlineStr">
        <is>
          <t>mids</t>
        </is>
      </c>
    </row>
    <row r="78">
      <c r="A78" s="128" t="n">
        <v>46283</v>
      </c>
      <c r="B78" t="n">
        <v>7</v>
      </c>
      <c r="C78" s="129" t="n">
        <v>761.54</v>
      </c>
      <c r="D78" t="inlineStr">
        <is>
          <t>P 764 2026-09-25</t>
        </is>
      </c>
      <c r="E78" t="n">
        <v>2</v>
      </c>
      <c r="F78" s="130" t="n">
        <v>0.08171076619877925</v>
      </c>
      <c r="G78" s="131" t="n">
        <v>4.460000000000093</v>
      </c>
      <c r="H78" s="132" t="n">
        <v>892.0000000000186</v>
      </c>
      <c r="J78" s="133" t="n">
        <v>-116.7549157995873</v>
      </c>
      <c r="K78" s="129" t="n">
        <v>9.054126046306273</v>
      </c>
      <c r="L78" s="129" t="n">
        <v>-38.18333115821196</v>
      </c>
      <c r="M78" s="129" t="n">
        <v>82.28419674702815</v>
      </c>
      <c r="N78" t="inlineStr">
        <is>
          <t>mids</t>
        </is>
      </c>
    </row>
    <row r="79">
      <c r="A79" s="134" t="n">
        <v>46283</v>
      </c>
      <c r="B79" s="127" t="n">
        <v>7</v>
      </c>
      <c r="C79" s="135" t="n">
        <v>761.54</v>
      </c>
      <c r="D79" s="127" t="inlineStr">
        <is>
          <t>POSITION</t>
        </is>
      </c>
      <c r="E79" s="127" t="n"/>
      <c r="F79" s="127" t="n"/>
      <c r="G79" s="127" t="n"/>
      <c r="H79" s="136" t="n">
        <v>1662.000000000023</v>
      </c>
      <c r="I79" s="137" t="n">
        <v>-3043.999999999977</v>
      </c>
      <c r="J79" s="138" t="n">
        <v>-28.70698500836791</v>
      </c>
      <c r="K79" s="135" t="n">
        <v>15.71890316482321</v>
      </c>
      <c r="L79" s="135" t="n">
        <v>-112.1504660889994</v>
      </c>
      <c r="M79" s="135" t="n">
        <v>165.4847030605637</v>
      </c>
      <c r="N79" s="127" t="inlineStr">
        <is>
          <t>mids</t>
        </is>
      </c>
    </row>
    <row r="81">
      <c r="A81" s="128" t="n">
        <v>46286</v>
      </c>
      <c r="B81" t="n">
        <v>4</v>
      </c>
      <c r="C81" s="129" t="n">
        <v>773.5</v>
      </c>
      <c r="D81" t="inlineStr">
        <is>
          <t>C 764 2026-09-25</t>
        </is>
      </c>
      <c r="E81" t="n">
        <v>2</v>
      </c>
      <c r="F81" s="130" t="n">
        <v>0.1255707200012669</v>
      </c>
      <c r="G81" s="131" t="n">
        <v>10.72000000000003</v>
      </c>
      <c r="H81" s="132" t="n">
        <v>2144.000000000005</v>
      </c>
      <c r="J81" s="133" t="n">
        <v>167.2921397188423</v>
      </c>
      <c r="K81" s="129" t="n">
        <v>4.854596125672426</v>
      </c>
      <c r="L81" s="129" t="n">
        <v>-76.68347824603067</v>
      </c>
      <c r="M81" s="129" t="n">
        <v>39.96954940890799</v>
      </c>
      <c r="N81" t="inlineStr">
        <is>
          <t>mids</t>
        </is>
      </c>
    </row>
    <row r="82">
      <c r="A82" s="128" t="n">
        <v>46286</v>
      </c>
      <c r="B82" t="n">
        <v>4</v>
      </c>
      <c r="C82" s="129" t="n">
        <v>773.5</v>
      </c>
      <c r="D82" t="inlineStr">
        <is>
          <t>P 764 2026-09-25</t>
        </is>
      </c>
      <c r="E82" t="n">
        <v>2</v>
      </c>
      <c r="F82" s="130" t="n">
        <v>0.129264644037159</v>
      </c>
      <c r="G82" s="131" t="n">
        <v>0.9599999999999795</v>
      </c>
      <c r="H82" s="132" t="n">
        <v>191.9999999999959</v>
      </c>
      <c r="J82" s="133" t="n">
        <v>-34.08986983046391</v>
      </c>
      <c r="K82" s="129" t="n">
        <v>4.843433055570947</v>
      </c>
      <c r="L82" s="129" t="n">
        <v>-63.41934870202874</v>
      </c>
      <c r="M82" s="129" t="n">
        <v>41.05072380202041</v>
      </c>
      <c r="N82" t="inlineStr">
        <is>
          <t>mids</t>
        </is>
      </c>
    </row>
    <row r="83">
      <c r="A83" s="134" t="n">
        <v>46286</v>
      </c>
      <c r="B83" s="127" t="n">
        <v>4</v>
      </c>
      <c r="C83" s="135" t="n">
        <v>773.5</v>
      </c>
      <c r="D83" s="127" t="inlineStr">
        <is>
          <t>POSITION</t>
        </is>
      </c>
      <c r="E83" s="127" t="n"/>
      <c r="F83" s="127" t="n"/>
      <c r="G83" s="127" t="n"/>
      <c r="H83" s="136" t="n">
        <v>2336.000000000001</v>
      </c>
      <c r="I83" s="137" t="n">
        <v>-2369.999999999999</v>
      </c>
      <c r="J83" s="138" t="n">
        <v>133.2022698883784</v>
      </c>
      <c r="K83" s="135" t="n">
        <v>9.698029181243374</v>
      </c>
      <c r="L83" s="135" t="n">
        <v>-140.1028269480594</v>
      </c>
      <c r="M83" s="135" t="n">
        <v>81.02027321092839</v>
      </c>
      <c r="N83" s="127" t="inlineStr">
        <is>
          <t>mids</t>
        </is>
      </c>
    </row>
    <row r="85">
      <c r="A85" s="128" t="n">
        <v>46287</v>
      </c>
      <c r="B85" t="n">
        <v>3</v>
      </c>
      <c r="C85" s="129" t="n">
        <v>773.38</v>
      </c>
      <c r="D85" t="inlineStr">
        <is>
          <t>C 764 2026-09-25</t>
        </is>
      </c>
      <c r="E85" t="n">
        <v>2</v>
      </c>
      <c r="F85" s="130" t="n">
        <v>0.1432641212027908</v>
      </c>
      <c r="G85" s="131" t="n">
        <v>10.51999999999998</v>
      </c>
      <c r="H85" s="132" t="n">
        <v>2103.999999999996</v>
      </c>
      <c r="J85" s="133" t="n">
        <v>166.8613682447611</v>
      </c>
      <c r="K85" s="129" t="n">
        <v>4.955904953699041</v>
      </c>
      <c r="L85" s="129" t="n">
        <v>-97.25300208110983</v>
      </c>
      <c r="M85" s="129" t="n">
        <v>34.90395762366771</v>
      </c>
      <c r="N85" t="inlineStr">
        <is>
          <t>mids</t>
        </is>
      </c>
    </row>
    <row r="86">
      <c r="A86" s="128" t="n">
        <v>46287</v>
      </c>
      <c r="B86" t="n">
        <v>3</v>
      </c>
      <c r="C86" s="129" t="n">
        <v>773.38</v>
      </c>
      <c r="D86" t="inlineStr">
        <is>
          <t>P 764 2026-09-25</t>
        </is>
      </c>
      <c r="E86" t="n">
        <v>2</v>
      </c>
      <c r="F86" s="130" t="n">
        <v>0.1201891042965466</v>
      </c>
      <c r="G86" s="131" t="n">
        <v>0.5200000000000671</v>
      </c>
      <c r="H86" s="132" t="n">
        <v>104.0000000000134</v>
      </c>
      <c r="J86" s="133" t="n">
        <v>-24.78789704671236</v>
      </c>
      <c r="K86" s="129" t="n">
        <v>4.85656081998422</v>
      </c>
      <c r="L86" s="129" t="n">
        <v>-55.3684292389216</v>
      </c>
      <c r="M86" s="129" t="n">
        <v>28.69512985364203</v>
      </c>
      <c r="N86" t="inlineStr">
        <is>
          <t>mids</t>
        </is>
      </c>
    </row>
    <row r="87">
      <c r="A87" s="134" t="n">
        <v>46287</v>
      </c>
      <c r="B87" s="127" t="n">
        <v>3</v>
      </c>
      <c r="C87" s="135" t="n">
        <v>773.38</v>
      </c>
      <c r="D87" s="127" t="inlineStr">
        <is>
          <t>POSITION</t>
        </is>
      </c>
      <c r="E87" s="127" t="n"/>
      <c r="F87" s="127" t="n"/>
      <c r="G87" s="127" t="n"/>
      <c r="H87" s="136" t="n">
        <v>2208.00000000001</v>
      </c>
      <c r="I87" s="137" t="n">
        <v>-2497.99999999999</v>
      </c>
      <c r="J87" s="138" t="n">
        <v>142.0734711980488</v>
      </c>
      <c r="K87" s="135" t="n">
        <v>9.812465773683261</v>
      </c>
      <c r="L87" s="135" t="n">
        <v>-152.6214313200314</v>
      </c>
      <c r="M87" s="135" t="n">
        <v>63.59908747730975</v>
      </c>
      <c r="N87" s="127" t="inlineStr">
        <is>
          <t>mids</t>
        </is>
      </c>
    </row>
    <row r="89">
      <c r="A89" s="128" t="n">
        <v>46288</v>
      </c>
      <c r="B89" t="n">
        <v>2</v>
      </c>
      <c r="C89" s="129" t="n">
        <v>767.83</v>
      </c>
      <c r="D89" t="inlineStr">
        <is>
          <t>C 764 2026-09-25</t>
        </is>
      </c>
      <c r="E89" t="n">
        <v>2</v>
      </c>
      <c r="F89" s="130" t="n">
        <v>0.1340307176507629</v>
      </c>
      <c r="G89" s="131" t="n">
        <v>5.439999999999941</v>
      </c>
      <c r="H89" s="132" t="n">
        <v>1087.999999999988</v>
      </c>
      <c r="J89" s="133" t="n">
        <v>140.4629950486913</v>
      </c>
      <c r="K89" s="129" t="n">
        <v>9.096174961580324</v>
      </c>
      <c r="L89" s="129" t="n">
        <v>-143.6700002077249</v>
      </c>
      <c r="M89" s="129" t="n">
        <v>39.38496214924356</v>
      </c>
      <c r="N89" t="inlineStr">
        <is>
          <t>mids</t>
        </is>
      </c>
    </row>
    <row r="90">
      <c r="A90" s="128" t="n">
        <v>46288</v>
      </c>
      <c r="B90" t="n">
        <v>2</v>
      </c>
      <c r="C90" s="129" t="n">
        <v>767.83</v>
      </c>
      <c r="D90" t="inlineStr">
        <is>
          <t>P 764 2026-09-25</t>
        </is>
      </c>
      <c r="E90" t="n">
        <v>2</v>
      </c>
      <c r="F90" s="130" t="n">
        <v>0.1277643658827232</v>
      </c>
      <c r="G90" s="131" t="n">
        <v>1.319999999999965</v>
      </c>
      <c r="H90" s="132" t="n">
        <v>263.999999999993</v>
      </c>
      <c r="J90" s="133" t="n">
        <v>-57.77720168928235</v>
      </c>
      <c r="K90" s="129" t="n">
        <v>9.410517831092806</v>
      </c>
      <c r="L90" s="129" t="n">
        <v>-119.1717977683634</v>
      </c>
      <c r="M90" s="129" t="n">
        <v>38.84101316825838</v>
      </c>
      <c r="N90" t="inlineStr">
        <is>
          <t>mids</t>
        </is>
      </c>
    </row>
    <row r="91">
      <c r="A91" s="134" t="n">
        <v>46288</v>
      </c>
      <c r="B91" s="127" t="n">
        <v>2</v>
      </c>
      <c r="C91" s="135" t="n">
        <v>767.83</v>
      </c>
      <c r="D91" s="127" t="inlineStr">
        <is>
          <t>POSITION</t>
        </is>
      </c>
      <c r="E91" s="127" t="n"/>
      <c r="F91" s="127" t="n"/>
      <c r="G91" s="127" t="n"/>
      <c r="H91" s="136" t="n">
        <v>1351.999999999981</v>
      </c>
      <c r="I91" s="137" t="n">
        <v>-3354.000000000019</v>
      </c>
      <c r="J91" s="138" t="n">
        <v>82.68579335940899</v>
      </c>
      <c r="K91" s="135" t="n">
        <v>18.50669279267313</v>
      </c>
      <c r="L91" s="135" t="n">
        <v>-262.8417979760883</v>
      </c>
      <c r="M91" s="135" t="n">
        <v>78.22597531750193</v>
      </c>
      <c r="N91" s="127" t="inlineStr">
        <is>
          <t>mids</t>
        </is>
      </c>
    </row>
    <row r="93">
      <c r="A93" s="128" t="n">
        <v>46289</v>
      </c>
      <c r="B93" t="n">
        <v>1</v>
      </c>
      <c r="C93" s="129" t="n">
        <v>767.1799999999999</v>
      </c>
      <c r="D93" t="inlineStr">
        <is>
          <t>C 764 2026-09-25</t>
        </is>
      </c>
      <c r="E93" t="n">
        <v>2</v>
      </c>
      <c r="F93" s="130" t="n">
        <v>0.1123339391767618</v>
      </c>
      <c r="G93" s="131" t="n">
        <v>3.880000000000109</v>
      </c>
      <c r="H93" s="132" t="n">
        <v>776.0000000000218</v>
      </c>
      <c r="J93" s="133" t="n">
        <v>153.3389154995226</v>
      </c>
      <c r="K93" s="129" t="n">
        <v>13.5703876436509</v>
      </c>
      <c r="L93" s="129" t="n">
        <v>-150.8725916275957</v>
      </c>
      <c r="M93" s="129" t="n">
        <v>24.58130426714051</v>
      </c>
      <c r="N93" t="inlineStr">
        <is>
          <t>mids</t>
        </is>
      </c>
    </row>
    <row r="94">
      <c r="A94" s="128" t="n">
        <v>46289</v>
      </c>
      <c r="B94" t="n">
        <v>1</v>
      </c>
      <c r="C94" s="129" t="n">
        <v>767.1799999999999</v>
      </c>
      <c r="D94" t="inlineStr">
        <is>
          <t>P 764 2026-09-25</t>
        </is>
      </c>
      <c r="E94" t="n">
        <v>2</v>
      </c>
      <c r="F94" s="130" t="n">
        <v>0.1520926619083326</v>
      </c>
      <c r="G94" s="131" t="n">
        <v>1.13999999999993</v>
      </c>
      <c r="H94" s="132" t="n">
        <v>227.9999999999859</v>
      </c>
      <c r="J94" s="133" t="n">
        <v>-58.95384301814708</v>
      </c>
      <c r="K94" s="129" t="n">
        <v>11.29475598005654</v>
      </c>
      <c r="L94" s="129" t="n">
        <v>-205.6702417113284</v>
      </c>
      <c r="M94" s="129" t="n">
        <v>27.70044806315102</v>
      </c>
      <c r="N94" t="inlineStr">
        <is>
          <t>mids</t>
        </is>
      </c>
    </row>
    <row r="95">
      <c r="A95" s="134" t="n">
        <v>46289</v>
      </c>
      <c r="B95" s="127" t="n">
        <v>1</v>
      </c>
      <c r="C95" s="135" t="n">
        <v>767.1799999999999</v>
      </c>
      <c r="D95" s="127" t="inlineStr">
        <is>
          <t>POSITION</t>
        </is>
      </c>
      <c r="E95" s="127" t="n"/>
      <c r="F95" s="127" t="n"/>
      <c r="G95" s="127" t="n"/>
      <c r="H95" s="136" t="n">
        <v>1004.000000000008</v>
      </c>
      <c r="I95" s="137" t="n">
        <v>-3701.999999999992</v>
      </c>
      <c r="J95" s="138" t="n">
        <v>94.38507248137549</v>
      </c>
      <c r="K95" s="135" t="n">
        <v>24.86514362370745</v>
      </c>
      <c r="L95" s="135" t="n">
        <v>-356.5428333389241</v>
      </c>
      <c r="M95" s="135" t="n">
        <v>52.28175233029152</v>
      </c>
      <c r="N95" s="127" t="inlineStr">
        <is>
          <t>mids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2026-08-31T18:53:15Z</dcterms:created>
  <dcterms:modified xsi:type="dcterms:W3CDTF">2026-09-24T23:03:54Z</dcterms:modified>
  <cp:revision>0</cp:revision>
</cp:coreProperties>
</file>