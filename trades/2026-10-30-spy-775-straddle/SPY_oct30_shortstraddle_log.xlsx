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ntry" sheetId="1" state="visible" r:id="rId1"/>
    <sheet name="Daily Log" sheetId="2" state="visible" r:id="rId2"/>
    <sheet name="Position" sheetId="3" state="visible" r:id="rId3"/>
    <sheet name="Greek Histo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yyyy\-mm\-dd"/>
    <numFmt numFmtId="166" formatCode="\$#,##0;&quot;($&quot;#,##0\);\-"/>
    <numFmt numFmtId="167" formatCode="0.000"/>
    <numFmt numFmtId="168" formatCode="\+#,##0.0;\-#,##0.0;0"/>
    <numFmt numFmtId="169" formatCode="yyyy-mm-dd"/>
    <numFmt numFmtId="170" formatCode="0.0"/>
    <numFmt numFmtId="171" formatCode="#,##0.00;[Red]-#,##0.00"/>
  </numFmts>
  <fonts count="2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3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color rgb="FF008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theme="1"/>
      <sz val="9"/>
    </font>
    <font>
      <name val="Arial"/>
      <charset val="1"/>
      <family val="0"/>
      <b val="1"/>
      <i val="1"/>
      <color rgb="FF808080"/>
      <sz val="9"/>
    </font>
    <font>
      <name val="Arial"/>
      <charset val="1"/>
      <family val="0"/>
      <i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F2F2F2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AF1DD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right" vertical="bottom"/>
    </xf>
    <xf numFmtId="164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right" vertical="bottom"/>
    </xf>
    <xf numFmtId="1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right" vertical="bottom"/>
    </xf>
    <xf numFmtId="166" fontId="9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bottom"/>
    </xf>
    <xf numFmtId="167" fontId="8" fillId="3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13" fillId="4" borderId="1" applyAlignment="1" pivotButton="0" quotePrefix="0" xfId="0">
      <alignment horizontal="center" vertical="bottom" wrapText="1"/>
    </xf>
    <xf numFmtId="0" fontId="13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5" fontId="14" fillId="5" borderId="1" applyAlignment="1" pivotButton="0" quotePrefix="0" xfId="0">
      <alignment horizontal="general" vertical="bottom"/>
    </xf>
    <xf numFmtId="1" fontId="1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center" vertical="bottom"/>
    </xf>
    <xf numFmtId="1" fontId="15" fillId="0" borderId="1" applyAlignment="1" pivotButton="0" quotePrefix="0" xfId="0">
      <alignment horizontal="center" vertical="bottom"/>
    </xf>
    <xf numFmtId="164" fontId="17" fillId="3" borderId="1" applyAlignment="1" pivotButton="0" quotePrefix="0" xfId="0">
      <alignment horizontal="center" vertical="bottom"/>
    </xf>
    <xf numFmtId="10" fontId="15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10" fontId="17" fillId="3" borderId="1" applyAlignment="1" pivotButton="0" quotePrefix="0" xfId="0">
      <alignment horizontal="center" vertical="bottom"/>
    </xf>
    <xf numFmtId="166" fontId="15" fillId="0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left" vertical="bottom"/>
    </xf>
    <xf numFmtId="164" fontId="15" fillId="0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64" fontId="17" fillId="3" borderId="0" applyAlignment="1" pivotButton="0" quotePrefix="0" xfId="0">
      <alignment horizontal="general" vertical="bottom"/>
    </xf>
    <xf numFmtId="168" fontId="1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bottom"/>
    </xf>
    <xf numFmtId="0" fontId="18" fillId="3" borderId="1" applyAlignment="1" pivotButton="0" quotePrefix="0" xfId="0">
      <alignment horizontal="left" vertical="bottom"/>
    </xf>
    <xf numFmtId="1" fontId="6" fillId="0" borderId="1" applyAlignment="1" pivotButton="0" quotePrefix="0" xfId="0">
      <alignment horizontal="right" vertical="bottom"/>
    </xf>
    <xf numFmtId="10" fontId="6" fillId="0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165" fontId="17" fillId="3" borderId="0" applyAlignment="1" pivotButton="0" quotePrefix="0" xfId="0">
      <alignment horizontal="general" vertical="bottom"/>
    </xf>
    <xf numFmtId="10" fontId="1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right" vertical="bottom"/>
    </xf>
    <xf numFmtId="164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right" vertical="bottom"/>
    </xf>
    <xf numFmtId="1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right" vertical="bottom"/>
    </xf>
    <xf numFmtId="166" fontId="9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bottom"/>
    </xf>
    <xf numFmtId="167" fontId="8" fillId="3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13" fillId="4" borderId="1" applyAlignment="1" pivotButton="0" quotePrefix="0" xfId="0">
      <alignment horizontal="center" vertical="bottom" wrapText="1"/>
    </xf>
    <xf numFmtId="0" fontId="13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5" fontId="14" fillId="5" borderId="1" applyAlignment="1" pivotButton="0" quotePrefix="0" xfId="0">
      <alignment horizontal="general" vertical="bottom"/>
    </xf>
    <xf numFmtId="1" fontId="1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center" vertical="bottom"/>
    </xf>
    <xf numFmtId="1" fontId="15" fillId="0" borderId="1" applyAlignment="1" pivotButton="0" quotePrefix="0" xfId="0">
      <alignment horizontal="center" vertical="bottom"/>
    </xf>
    <xf numFmtId="164" fontId="17" fillId="3" borderId="1" applyAlignment="1" pivotButton="0" quotePrefix="0" xfId="0">
      <alignment horizontal="center" vertical="bottom"/>
    </xf>
    <xf numFmtId="10" fontId="15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10" fontId="17" fillId="3" borderId="1" applyAlignment="1" pivotButton="0" quotePrefix="0" xfId="0">
      <alignment horizontal="center" vertical="bottom"/>
    </xf>
    <xf numFmtId="166" fontId="15" fillId="0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left" vertical="bottom"/>
    </xf>
    <xf numFmtId="164" fontId="15" fillId="0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64" fontId="17" fillId="3" borderId="0" applyAlignment="1" pivotButton="0" quotePrefix="0" xfId="0">
      <alignment horizontal="general" vertical="bottom"/>
    </xf>
    <xf numFmtId="168" fontId="1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bottom"/>
    </xf>
    <xf numFmtId="0" fontId="18" fillId="3" borderId="1" applyAlignment="1" pivotButton="0" quotePrefix="0" xfId="0">
      <alignment horizontal="left" vertical="bottom"/>
    </xf>
    <xf numFmtId="1" fontId="6" fillId="0" borderId="1" applyAlignment="1" pivotButton="0" quotePrefix="0" xfId="0">
      <alignment horizontal="right" vertical="bottom"/>
    </xf>
    <xf numFmtId="10" fontId="6" fillId="0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165" fontId="17" fillId="3" borderId="0" applyAlignment="1" pivotButton="0" quotePrefix="0" xfId="0">
      <alignment horizontal="general" vertical="bottom"/>
    </xf>
    <xf numFmtId="10" fontId="17" fillId="3" borderId="0" applyAlignment="1" pivotButton="0" quotePrefix="0" xfId="0">
      <alignment horizontal="general" vertical="bottom"/>
    </xf>
    <xf numFmtId="0" fontId="21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70" fontId="0" fillId="0" borderId="0" pivotButton="0" quotePrefix="0" xfId="0"/>
    <xf numFmtId="169" fontId="21" fillId="0" borderId="0" pivotButton="0" quotePrefix="0" xfId="0"/>
    <xf numFmtId="2" fontId="21" fillId="0" borderId="0" pivotButton="0" quotePrefix="0" xfId="0"/>
    <xf numFmtId="4" fontId="21" fillId="0" borderId="0" pivotButton="0" quotePrefix="0" xfId="0"/>
    <xf numFmtId="171" fontId="21" fillId="0" borderId="0" pivotButton="0" quotePrefix="0" xfId="0"/>
    <xf numFmtId="170" fontId="2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0" customWidth="1" style="63" min="1" max="2"/>
    <col width="46" customWidth="1" style="63" min="3" max="3"/>
    <col width="8.710000000000001" customWidth="1" style="63" min="4" max="26"/>
  </cols>
  <sheetData>
    <row r="1" ht="16.15" customHeight="1" s="64">
      <c r="A1" s="65" t="inlineStr">
        <is>
          <t>SPY SHORT STRADDLE  -  IMPLIED vs REALIZED</t>
        </is>
      </c>
    </row>
    <row r="2" ht="15" customHeight="1" s="64">
      <c r="A2" s="66" t="inlineStr">
        <is>
          <t>Blue/yellow cells are inputs you fill in. Black cells are formulas — do not overwrite them.</t>
        </is>
      </c>
    </row>
    <row r="4" ht="15" customHeight="1" s="64">
      <c r="A4" s="67" t="inlineStr">
        <is>
          <t>POSITION</t>
        </is>
      </c>
      <c r="B4" s="68" t="n"/>
      <c r="C4" s="68" t="n"/>
    </row>
    <row r="5" ht="15" customHeight="1" s="64">
      <c r="A5" s="69" t="inlineStr">
        <is>
          <t>Underlying</t>
        </is>
      </c>
      <c r="B5" s="70" t="inlineStr">
        <is>
          <t>SPY</t>
        </is>
      </c>
    </row>
    <row r="6" ht="15" customHeight="1" s="64">
      <c r="A6" s="69" t="inlineStr">
        <is>
          <t>Structure</t>
        </is>
      </c>
      <c r="B6" s="70" t="inlineStr">
        <is>
          <t>Short straddle, 1 call + 1 put (sold)</t>
        </is>
      </c>
    </row>
    <row r="7" ht="15" customHeight="1" s="64">
      <c r="A7" s="69" t="inlineStr">
        <is>
          <t>Strike</t>
        </is>
      </c>
      <c r="B7" s="71" t="n">
        <v>775</v>
      </c>
    </row>
    <row r="8" ht="15" customHeight="1" s="64">
      <c r="A8" s="69" t="inlineStr">
        <is>
          <t>Expiration</t>
        </is>
      </c>
      <c r="B8" s="72" t="n">
        <v>46325</v>
      </c>
    </row>
    <row r="9" ht="15" customHeight="1" s="64">
      <c r="A9" s="69" t="inlineStr">
        <is>
          <t>Contracts per leg</t>
        </is>
      </c>
      <c r="B9" s="73" t="n">
        <v>-1</v>
      </c>
    </row>
    <row r="10" ht="15" customHeight="1" s="64">
      <c r="A10" s="69" t="inlineStr">
        <is>
          <t>Entry date</t>
        </is>
      </c>
      <c r="B10" s="74" t="n">
        <v>46300</v>
      </c>
      <c r="C10" s="66" t="inlineStr">
        <is>
          <t>fill in: trade date</t>
        </is>
      </c>
    </row>
    <row r="11" ht="15" customHeight="1" s="64">
      <c r="A11" s="69" t="inlineStr">
        <is>
          <t>Spot at fill</t>
        </is>
      </c>
      <c r="B11" s="75" t="n">
        <v>772.25</v>
      </c>
      <c r="C11" s="66" t="inlineStr">
        <is>
          <t>SPY price at the moment of fill</t>
        </is>
      </c>
    </row>
    <row r="12" ht="15" customHeight="1" s="64">
      <c r="A12" s="69" t="inlineStr">
        <is>
          <t>DTE at entry (calendar)</t>
        </is>
      </c>
      <c r="B12" s="76">
        <f>IF($B$10="","",$B$8-$B$10)</f>
        <v/>
      </c>
    </row>
    <row r="13" ht="15" customHeight="1" s="64">
      <c r="A13" s="69" t="inlineStr">
        <is>
          <t>Credit per straddle</t>
        </is>
      </c>
      <c r="B13" s="71" t="n">
        <v>20.05</v>
      </c>
      <c r="C13" s="66" t="inlineStr">
        <is>
          <t>from order confirmation</t>
        </is>
      </c>
    </row>
    <row r="14" ht="15" customHeight="1" s="64">
      <c r="A14" s="69" t="inlineStr">
        <is>
          <t>Fees</t>
        </is>
      </c>
      <c r="B14" s="71" t="n">
        <v>0.2</v>
      </c>
    </row>
    <row r="15" ht="15" customHeight="1" s="64">
      <c r="A15" s="69" t="inlineStr">
        <is>
          <t>Net credit (negative = received)</t>
        </is>
      </c>
      <c r="B15" s="77">
        <f>$B$13*$B$9*100+$B$14</f>
        <v/>
      </c>
    </row>
    <row r="17" ht="15" customHeight="1" s="64">
      <c r="A17" s="67" t="inlineStr">
        <is>
          <t>ENTRY GREEKS &amp; IV   (pull from the Sep 25 chain, not the Sep 18 chain)</t>
        </is>
      </c>
      <c r="B17" s="68" t="n"/>
      <c r="C17" s="68" t="n"/>
    </row>
    <row r="18" ht="15" customHeight="1" s="64">
      <c r="A18" s="69" t="inlineStr">
        <is>
          <t>Call IV</t>
        </is>
      </c>
      <c r="B18" s="78" t="n">
        <v>0.1249</v>
      </c>
      <c r="C18" s="66" t="inlineStr">
        <is>
          <t>enter as 12.8% or 0.128</t>
        </is>
      </c>
    </row>
    <row r="19" ht="15" customHeight="1" s="64">
      <c r="A19" s="69" t="inlineStr">
        <is>
          <t>Put IV</t>
        </is>
      </c>
      <c r="B19" s="78" t="n">
        <v>0.1246</v>
      </c>
    </row>
    <row r="20" ht="15" customHeight="1" s="64">
      <c r="A20" s="69" t="inlineStr">
        <is>
          <t>ATM IV (average)</t>
        </is>
      </c>
      <c r="B20" s="79">
        <f>IF(COUNT($B$18:$B$19)=0,"",AVERAGE($B$18:$B$19))</f>
        <v/>
      </c>
      <c r="C20" s="66" t="inlineStr">
        <is>
          <t>this is the number the whole test runs against</t>
        </is>
      </c>
    </row>
    <row r="21" ht="15.75" customHeight="1" s="64">
      <c r="A21" s="69" t="inlineStr">
        <is>
          <t>Call delta</t>
        </is>
      </c>
      <c r="B21" s="80" t="n">
        <v>0.4966</v>
      </c>
    </row>
    <row r="22" ht="15.75" customHeight="1" s="64">
      <c r="A22" s="69" t="inlineStr">
        <is>
          <t>Put delta (negative)</t>
        </is>
      </c>
      <c r="B22" s="80" t="n">
        <v>-0.5034999999999999</v>
      </c>
    </row>
    <row r="23" ht="15.75" customHeight="1" s="64">
      <c r="A23" s="69" t="inlineStr">
        <is>
          <t>Net delta per straddle</t>
        </is>
      </c>
      <c r="B23" s="81">
        <f>IF(COUNT($B$21:$B$22)&lt;2,"",$B$21+$B$22)</f>
        <v/>
      </c>
      <c r="C23" s="66" t="inlineStr">
        <is>
          <t>the ATM residual — expect a small positive number</t>
        </is>
      </c>
    </row>
    <row r="24" ht="15.75" customHeight="1" s="64">
      <c r="A24" s="69" t="inlineStr">
        <is>
          <t>Position delta</t>
        </is>
      </c>
      <c r="B24" s="81">
        <f>IF($B$23="","",$B$23*$B$9)</f>
        <v/>
      </c>
    </row>
    <row r="25" ht="15.75" customHeight="1" s="64">
      <c r="A25" s="69" t="inlineStr">
        <is>
          <t>Position gamma</t>
        </is>
      </c>
      <c r="B25" s="82" t="n">
        <v>-3.164</v>
      </c>
    </row>
    <row r="26" ht="15.75" customHeight="1" s="64">
      <c r="A26" s="69" t="inlineStr">
        <is>
          <t>Position theta ($/day)</t>
        </is>
      </c>
      <c r="B26" s="75" t="n">
        <v>39.95</v>
      </c>
    </row>
    <row r="27" ht="15.75" customHeight="1" s="64">
      <c r="A27" s="69" t="inlineStr">
        <is>
          <t>Position vega ($/vol pt)</t>
        </is>
      </c>
      <c r="B27" s="75" t="n">
        <v>-161.25</v>
      </c>
    </row>
    <row r="28" ht="15.75" customHeight="1" s="64"/>
    <row r="29" ht="15.75" customHeight="1" s="64">
      <c r="A29" s="67" t="inlineStr">
        <is>
          <t>DERIVED  —  THE BAR</t>
        </is>
      </c>
      <c r="B29" s="68" t="n"/>
      <c r="C29" s="68" t="n"/>
    </row>
    <row r="30" ht="15.75" customHeight="1" s="64">
      <c r="A30" s="69" t="inlineStr">
        <is>
          <t>Implied daily move (%)</t>
        </is>
      </c>
      <c r="B30" s="79">
        <f>IF($B$20="","",$B$20/SQRT(252))</f>
        <v/>
      </c>
      <c r="C30" s="66" t="inlineStr">
        <is>
          <t>ATM IV / SQRT(252) — the daily bar to beat</t>
        </is>
      </c>
    </row>
    <row r="31" ht="15.75" customHeight="1" s="64">
      <c r="A31" s="69" t="inlineStr">
        <is>
          <t>Implied daily move (pts)</t>
        </is>
      </c>
      <c r="B31" s="83">
        <f>IF(OR($B$30="",$B$11=""),"",$B$30*$B$11)</f>
        <v/>
      </c>
    </row>
    <row r="32" ht="15.75" customHeight="1" s="64">
      <c r="A32" s="69" t="inlineStr">
        <is>
          <t>Implied move to expiry (%)</t>
        </is>
      </c>
      <c r="B32" s="79">
        <f>IF(OR($B$20="",$B$12=""),"",$B$20*SQRT($B$12/365))</f>
        <v/>
      </c>
    </row>
    <row r="33" ht="15.75" customHeight="1" s="64">
      <c r="A33" s="69" t="inlineStr">
        <is>
          <t>Upper breakeven (loss above)</t>
        </is>
      </c>
      <c r="B33" s="83">
        <f>$B$7+$B$13</f>
        <v/>
      </c>
    </row>
    <row r="34" ht="15.75" customHeight="1" s="64">
      <c r="A34" s="69" t="inlineStr">
        <is>
          <t>Lower breakeven (loss below)</t>
        </is>
      </c>
      <c r="B34" s="83">
        <f>$B$7-$B$13</f>
        <v/>
      </c>
    </row>
    <row r="35" ht="15.75" customHeight="1" s="64">
      <c r="A35" s="69" t="inlineStr">
        <is>
          <t>Breakeven move (%)</t>
        </is>
      </c>
      <c r="B35" s="79">
        <f>IF($B$11="","",$B$13/$B$11)</f>
        <v/>
      </c>
      <c r="C35" s="66" t="inlineStr">
        <is>
          <t>what you paid, as a % move</t>
        </is>
      </c>
    </row>
    <row r="36" ht="15.75" customHeight="1" s="64"/>
    <row r="37" ht="15.75" customHeight="1" s="64">
      <c r="A37" s="67" t="inlineStr">
        <is>
          <t>THESIS &amp; RULES   (write these BEFORE you know anything)</t>
        </is>
      </c>
      <c r="B37" s="68" t="n"/>
      <c r="C37" s="68" t="n"/>
    </row>
    <row r="38" ht="15.75" customHeight="1" s="64">
      <c r="A38" s="69" t="inlineStr">
        <is>
          <t>Thesis (one sentence)</t>
        </is>
      </c>
      <c r="B38" s="84" t="n"/>
    </row>
    <row r="39" ht="15.75" customHeight="1" s="64">
      <c r="A39" s="69" t="inlineStr">
        <is>
          <t>Morph rule — go bullish if...</t>
        </is>
      </c>
      <c r="B39" s="84" t="n"/>
    </row>
    <row r="40" ht="15.75" customHeight="1" s="64">
      <c r="A40" s="69" t="inlineStr">
        <is>
          <t>Morph rule — go bearish if...</t>
        </is>
      </c>
      <c r="B40" s="84" t="n"/>
    </row>
    <row r="41" ht="15.75" customHeight="1" s="64">
      <c r="A41" s="69" t="inlineStr">
        <is>
          <t>Exit rule (date / P&amp;L / IV level)</t>
        </is>
      </c>
      <c r="B41" s="84" t="inlineStr">
        <is>
          <t>exit if p&amp;l reaches -2000</t>
        </is>
      </c>
    </row>
    <row r="42" ht="15.75" customHeight="1" s="64">
      <c r="A42" s="69" t="inlineStr">
        <is>
          <t>Fill convention used</t>
        </is>
      </c>
      <c r="B42" s="84" t="inlineStr">
        <is>
          <t>Limit at combo mid + $0.03</t>
        </is>
      </c>
    </row>
    <row r="43" ht="15.75" customHeight="1" s="64"/>
    <row r="44" ht="15.75" customHeight="1" s="64">
      <c r="A44" s="85" t="inlineStr">
        <is>
          <t>Assumptions: strike, expiry, debit ($23.53) and fees ($0.20) taken from the user's order confirmation. Realized vol uses zero-mean RMS of simple close-to-close returns, annualized by SQRT(252). Daily bar uses the entry ATM IV held constant.</t>
        </is>
      </c>
    </row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baseColWidth="8" defaultColWidth="14.43359375" defaultRowHeight="15" zeroHeight="0" outlineLevelRow="0"/>
  <cols>
    <col width="12" customWidth="1" style="63" min="1" max="2"/>
    <col width="11" customWidth="1" style="63" min="3" max="3"/>
    <col width="9" customWidth="1" style="63" min="4" max="6"/>
    <col width="8" customWidth="1" style="63" min="7" max="7"/>
    <col width="9" customWidth="1" style="63" min="8" max="10"/>
    <col width="13" customWidth="1" style="63" min="11" max="11"/>
    <col width="12" customWidth="1" style="63" min="12" max="12"/>
    <col width="15" customWidth="1" style="63" min="13" max="13"/>
    <col width="10" customWidth="1" style="63" min="14" max="14"/>
    <col width="12.57" customWidth="1" style="63" min="15" max="15"/>
    <col width="11.85" customWidth="1" style="63" min="16" max="16"/>
    <col width="12.57" customWidth="1" style="63" min="17" max="17"/>
    <col width="34" customWidth="1" style="63" min="18" max="18"/>
    <col width="10" customWidth="1" style="63" min="19" max="29"/>
  </cols>
  <sheetData>
    <row r="1" ht="15" customHeight="1" s="64">
      <c r="A1" s="86" t="inlineStr">
        <is>
          <t>DAILY MARK  —  mark at the same time every day. Blue are entries</t>
        </is>
      </c>
    </row>
    <row r="2" ht="15" customHeight="1" s="64">
      <c r="A2" s="87" t="inlineStr">
        <is>
          <t>Date</t>
        </is>
      </c>
      <c r="B2" s="87" t="inlineStr">
        <is>
          <t>DTE</t>
        </is>
      </c>
      <c r="C2" s="88" t="inlineStr">
        <is>
          <t>SPY Close</t>
        </is>
      </c>
      <c r="D2" s="87" t="inlineStr">
        <is>
          <t>Return</t>
        </is>
      </c>
      <c r="E2" s="87" t="inlineStr">
        <is>
          <t>|Return|</t>
        </is>
      </c>
      <c r="F2" s="87" t="inlineStr">
        <is>
          <t>Daily Bar</t>
        </is>
      </c>
      <c r="G2" s="87" t="inlineStr">
        <is>
          <t>Beat?</t>
        </is>
      </c>
      <c r="H2" s="88" t="inlineStr">
        <is>
          <t>Call IV</t>
        </is>
      </c>
      <c r="I2" s="88" t="inlineStr">
        <is>
          <t>Put IV</t>
        </is>
      </c>
      <c r="J2" s="87" t="inlineStr">
        <is>
          <t>ATM IV</t>
        </is>
      </c>
      <c r="K2" s="88" t="inlineStr">
        <is>
          <t>Straddle Mark</t>
        </is>
      </c>
      <c r="L2" s="87" t="inlineStr">
        <is>
          <t>P&amp;L ($)</t>
        </is>
      </c>
      <c r="M2" s="87" t="inlineStr">
        <is>
          <t>Realized Vol (ann)</t>
        </is>
      </c>
      <c r="N2" s="87" t="inlineStr">
        <is>
          <t>RV − IV</t>
        </is>
      </c>
      <c r="O2" s="87" t="inlineStr">
        <is>
          <t>Gamma (sh/$1)</t>
        </is>
      </c>
      <c r="P2" s="87" t="inlineStr">
        <is>
          <t>Theta ($/day)</t>
        </is>
      </c>
      <c r="Q2" s="87" t="inlineStr">
        <is>
          <t>Vega ($/pt)</t>
        </is>
      </c>
      <c r="R2" s="88" t="inlineStr">
        <is>
          <t>Notes</t>
        </is>
      </c>
      <c r="S2" s="89" t="inlineStr">
        <is>
          <t>Call Mid</t>
        </is>
      </c>
      <c r="T2" s="89" t="inlineStr">
        <is>
          <t>Put Mid</t>
        </is>
      </c>
      <c r="U2" s="90" t="inlineStr">
        <is>
          <t>Delta (sh)</t>
        </is>
      </c>
    </row>
    <row r="3" ht="15" customHeight="1" s="64">
      <c r="A3" s="91">
        <f>Entry!$B$10</f>
        <v/>
      </c>
      <c r="B3" s="92">
        <f>IF($A3="","",Entry!$B$8-$A3)</f>
        <v/>
      </c>
      <c r="C3" s="93">
        <f>Entry!$B$11</f>
        <v/>
      </c>
      <c r="D3" s="94" t="n"/>
      <c r="E3" s="94" t="n"/>
      <c r="F3" s="94" t="n"/>
      <c r="G3" s="94" t="n"/>
      <c r="H3" s="94" t="n"/>
      <c r="I3" s="94" t="n"/>
      <c r="J3" s="94" t="n"/>
      <c r="K3" s="93">
        <f>Entry!$B$13</f>
        <v/>
      </c>
      <c r="L3" s="94" t="n"/>
      <c r="M3" s="94" t="n"/>
      <c r="N3" s="94" t="n"/>
      <c r="O3" s="95" t="n"/>
      <c r="P3" s="95" t="n"/>
      <c r="Q3" s="95" t="n"/>
      <c r="R3" s="95" t="inlineStr">
        <is>
          <t>ENTRY — row zero</t>
        </is>
      </c>
    </row>
    <row r="4" ht="15" customHeight="1" s="64">
      <c r="A4" s="96" t="n">
        <v>46301</v>
      </c>
      <c r="B4" s="97">
        <f>Entry!$B$8-$A4</f>
        <v/>
      </c>
      <c r="C4" s="98" t="n">
        <v>779.09</v>
      </c>
      <c r="D4" s="99">
        <f>IF(OR($C4="",$C3=""),"",$C4/$C3-1)</f>
        <v/>
      </c>
      <c r="E4" s="99">
        <f>IF(ISNUMBER($D4),ABS($D4),"")</f>
        <v/>
      </c>
      <c r="F4" s="99">
        <f>IF(Entry!$B$30="","",Entry!$B$30)</f>
        <v/>
      </c>
      <c r="G4" s="100">
        <f>IF(AND(ISNUMBER($E4),ISNUMBER($F4)),IF($E4&gt;$F4,"YES","no"),"")</f>
        <v/>
      </c>
      <c r="H4" s="101" t="n">
        <v>0.1279</v>
      </c>
      <c r="I4" s="101" t="n">
        <v>0.1232</v>
      </c>
      <c r="J4" s="99">
        <f>IF(COUNT($H4:$I4)=0,"",AVERAGE($H4:$I4))</f>
        <v/>
      </c>
      <c r="K4" s="98" t="n">
        <v>20.53</v>
      </c>
      <c r="L4" s="102">
        <f>IF($K4="","",($K4-Entry!$B$13)*Entry!$B$9*100)</f>
        <v/>
      </c>
      <c r="M4" s="99">
        <f>IF(COUNT($D$4:$D4)=0,"",SQRT(SUMSQ($D$4:$D4)/COUNT($D$4:$D4))*SQRT(252))</f>
        <v/>
      </c>
      <c r="N4" s="99">
        <f>IF(OR($M4="",Entry!$B$20=""),"",$M4-Entry!$B$20)</f>
        <v/>
      </c>
      <c r="O4" s="103" t="n">
        <v>-3.08</v>
      </c>
      <c r="P4" s="104" t="n">
        <v>41.83</v>
      </c>
      <c r="Q4" s="104" t="n">
        <v>-154.05</v>
      </c>
      <c r="R4" s="105" t="n"/>
      <c r="S4" s="106" t="n">
        <v>13.51</v>
      </c>
      <c r="T4" s="106" t="n">
        <v>7.02</v>
      </c>
      <c r="U4" s="107" t="n">
        <v>-20.6</v>
      </c>
    </row>
    <row r="5" ht="15" customHeight="1" s="64">
      <c r="A5" s="96" t="n">
        <v>46302</v>
      </c>
      <c r="B5" s="97">
        <f>Entry!$B$8-$A5</f>
        <v/>
      </c>
      <c r="C5" s="98" t="n">
        <v>777.22</v>
      </c>
      <c r="D5" s="99">
        <f>IF(OR($C5="",$C4=""),"",$C5/$C4-1)</f>
        <v/>
      </c>
      <c r="E5" s="99">
        <f>IF(ISNUMBER($D5),ABS($D5),"")</f>
        <v/>
      </c>
      <c r="F5" s="99">
        <f>IF(Entry!$B$30="","",Entry!$B$30)</f>
        <v/>
      </c>
      <c r="G5" s="100">
        <f>IF(AND(ISNUMBER($E5),ISNUMBER($F5)),IF($E5&gt;$F5,"YES","no"),"")</f>
        <v/>
      </c>
      <c r="H5" s="101" t="n">
        <v>0.1243</v>
      </c>
      <c r="I5" s="101" t="n">
        <v>0.1221</v>
      </c>
      <c r="J5" s="99">
        <f>IF(COUNT($H5:$I5)=0,"",AVERAGE($H5:$I5))</f>
        <v/>
      </c>
      <c r="K5" s="98" t="n">
        <v>19.42</v>
      </c>
      <c r="L5" s="102">
        <f>IF($K5="","",($K5-Entry!$B$13)*Entry!$B$9*100)</f>
        <v/>
      </c>
      <c r="M5" s="99">
        <f>IF(COUNT($D$4:$D5)=0,"",SQRT(SUMSQ($D$4:$D5)/COUNT($D$4:$D5))*SQRT(252))</f>
        <v/>
      </c>
      <c r="N5" s="99">
        <f>IF(OR($M5="",Entry!$B$20=""),"",$M5-Entry!$B$20)</f>
        <v/>
      </c>
      <c r="O5" s="103" t="n">
        <v>-3.26</v>
      </c>
      <c r="P5" s="104" t="n">
        <v>42.03</v>
      </c>
      <c r="Q5" s="104" t="n">
        <v>-152.9</v>
      </c>
      <c r="R5" s="105" t="n"/>
      <c r="S5" s="106" t="n">
        <v>11.88</v>
      </c>
      <c r="T5" s="106" t="n">
        <v>7.54</v>
      </c>
      <c r="U5" s="107" t="n">
        <v>-15</v>
      </c>
    </row>
    <row r="6" ht="15" customHeight="1" s="64">
      <c r="A6" s="96" t="n">
        <v>46303</v>
      </c>
      <c r="B6" s="97">
        <f>Entry!$B$8-$A6</f>
        <v/>
      </c>
      <c r="C6" s="98" t="n">
        <v>773.9299999999999</v>
      </c>
      <c r="D6" s="99">
        <f>IF(OR($C6="",$C5=""),"",$C6/$C5-1)</f>
        <v/>
      </c>
      <c r="E6" s="99">
        <f>IF(ISNUMBER($D6),ABS($D6),"")</f>
        <v/>
      </c>
      <c r="F6" s="99">
        <f>IF(Entry!$B$30="","",Entry!$B$30)</f>
        <v/>
      </c>
      <c r="G6" s="100">
        <f>IF(AND(ISNUMBER($E6),ISNUMBER($F6)),IF($E6&gt;$F6,"YES","no"),"")</f>
        <v/>
      </c>
      <c r="H6" s="101" t="n">
        <v>0.1239</v>
      </c>
      <c r="I6" s="101" t="n">
        <v>0.1179</v>
      </c>
      <c r="J6" s="99">
        <f>IF(COUNT($H6:$I6)=0,"",AVERAGE($H6:$I6))</f>
        <v/>
      </c>
      <c r="K6" s="98" t="n">
        <v>18.33</v>
      </c>
      <c r="L6" s="102">
        <f>IF($K6="","",($K6-Entry!$B$13)*Entry!$B$9*100)</f>
        <v/>
      </c>
      <c r="M6" s="99">
        <f>IF(COUNT($D$4:$D6)=0,"",SQRT(SUMSQ($D$4:$D6)/COUNT($D$4:$D6))*SQRT(252))</f>
        <v/>
      </c>
      <c r="N6" s="99">
        <f>IF(OR($M6="",Entry!$B$20=""),"",$M6-Entry!$B$20)</f>
        <v/>
      </c>
      <c r="O6" s="103" t="n">
        <v>-3.47</v>
      </c>
      <c r="P6" s="104" t="n">
        <v>41.74</v>
      </c>
      <c r="Q6" s="104" t="n">
        <v>-151.42</v>
      </c>
      <c r="R6" s="105" t="n"/>
      <c r="S6" s="106" t="n">
        <v>9.789999999999999</v>
      </c>
      <c r="T6" s="106" t="n">
        <v>8.539999999999999</v>
      </c>
      <c r="U6" s="107" t="n">
        <v>-4</v>
      </c>
    </row>
    <row r="7" ht="15" customHeight="1" s="64">
      <c r="A7" s="96" t="n">
        <v>46304</v>
      </c>
      <c r="B7" s="97">
        <f>Entry!$B$8-$A7</f>
        <v/>
      </c>
      <c r="C7" s="98" t="n">
        <v>778.5700000000001</v>
      </c>
      <c r="D7" s="99">
        <f>IF(OR($C7="",$C6=""),"",$C7/$C6-1)</f>
        <v/>
      </c>
      <c r="E7" s="99">
        <f>IF(ISNUMBER($D7),ABS($D7),"")</f>
        <v/>
      </c>
      <c r="F7" s="99">
        <f>IF(Entry!$B$30="","",Entry!$B$30)</f>
        <v/>
      </c>
      <c r="G7" s="100">
        <f>IF(AND(ISNUMBER($E7),ISNUMBER($F7)),IF($E7&gt;$F7,"YES","no"),"")</f>
        <v/>
      </c>
      <c r="H7" s="101" t="n">
        <v>0.1161</v>
      </c>
      <c r="I7" s="101" t="n">
        <v>0.1178</v>
      </c>
      <c r="J7" s="99">
        <f>IF(COUNT($H7:$I7)=0,"",AVERAGE($H7:$I7))</f>
        <v/>
      </c>
      <c r="K7" s="98" t="n">
        <v>17.89</v>
      </c>
      <c r="L7" s="102">
        <f>IF($K7="","",($K7-Entry!$B$13)*Entry!$B$9*100)</f>
        <v/>
      </c>
      <c r="M7" s="99">
        <f>IF(COUNT($D$4:$D7)=0,"",SQRT(SUMSQ($D$4:$D7)/COUNT($D$4:$D7))*SQRT(252))</f>
        <v/>
      </c>
      <c r="N7" s="99">
        <f>IF(OR($M7="",Entry!$B$20=""),"",$M7-Entry!$B$20)</f>
        <v/>
      </c>
      <c r="O7" s="103" t="n">
        <v>-3.53</v>
      </c>
      <c r="P7" s="104" t="n">
        <v>41.67</v>
      </c>
      <c r="Q7" s="104" t="n">
        <v>-144.06</v>
      </c>
      <c r="R7" s="105" t="n"/>
      <c r="S7" s="106" t="n">
        <v>11.56</v>
      </c>
      <c r="T7" s="106" t="n">
        <v>6.33</v>
      </c>
      <c r="U7" s="107" t="n">
        <v>-20.5</v>
      </c>
    </row>
    <row r="8" ht="15" customHeight="1" s="64">
      <c r="A8" s="96" t="n">
        <v>46307</v>
      </c>
      <c r="B8" s="97">
        <f>Entry!$B$8-$A8</f>
        <v/>
      </c>
      <c r="C8" s="98" t="n">
        <v>778.1</v>
      </c>
      <c r="D8" s="99">
        <f>IF(OR($C8="",$C7=""),"",$C8/$C7-1)</f>
        <v/>
      </c>
      <c r="E8" s="99">
        <f>IF(ISNUMBER($D8),ABS($D8),"")</f>
        <v/>
      </c>
      <c r="F8" s="99">
        <f>IF(Entry!$B$30="","",Entry!$B$30)</f>
        <v/>
      </c>
      <c r="G8" s="100">
        <f>IF(AND(ISNUMBER($E8),ISNUMBER($F8)),IF($E8&gt;$F8,"YES","no"),"")</f>
        <v/>
      </c>
      <c r="H8" s="101" t="n">
        <v>0.1187</v>
      </c>
      <c r="I8" s="101" t="n">
        <v>0.1179</v>
      </c>
      <c r="J8" s="99">
        <f>IF(COUNT($H8:$I8)=0,"",AVERAGE($H8:$I8))</f>
        <v/>
      </c>
      <c r="K8" s="98" t="n">
        <v>16.68</v>
      </c>
      <c r="L8" s="102">
        <f>IF($K8="","",($K8-Entry!$B$13)*Entry!$B$9*100)</f>
        <v/>
      </c>
      <c r="M8" s="99">
        <f>IF(COUNT($D$4:$D8)=0,"",SQRT(SUMSQ($D$4:$D8)/COUNT($D$4:$D8))*SQRT(252))</f>
        <v/>
      </c>
      <c r="N8" s="99">
        <f>IF(OR($M8="",Entry!$B$20=""),"",$M8-Entry!$B$20)</f>
        <v/>
      </c>
      <c r="O8" s="103" t="n">
        <v>-3.79</v>
      </c>
      <c r="P8" s="104" t="n">
        <v>45.46</v>
      </c>
      <c r="Q8" s="104" t="n">
        <v>-133.95</v>
      </c>
      <c r="R8" s="105" t="n"/>
      <c r="S8" s="106" t="n">
        <v>10.68</v>
      </c>
      <c r="T8" s="106" t="n">
        <v>6</v>
      </c>
      <c r="U8" s="107" t="n">
        <v>-19</v>
      </c>
    </row>
    <row r="9" ht="15" customHeight="1" s="64">
      <c r="A9" s="96" t="n">
        <v>46308</v>
      </c>
      <c r="B9" s="97">
        <f>Entry!$B$8-$A9</f>
        <v/>
      </c>
      <c r="C9" s="98" t="n">
        <v>778.01</v>
      </c>
      <c r="D9" s="99">
        <f>IF(OR($C9="",$C8=""),"",$C9/$C8-1)</f>
        <v/>
      </c>
      <c r="E9" s="99">
        <f>IF(ISNUMBER($D9),ABS($D9),"")</f>
        <v/>
      </c>
      <c r="F9" s="99">
        <f>IF(Entry!$B$30="","",Entry!$B$30)</f>
        <v/>
      </c>
      <c r="G9" s="100">
        <f>IF(AND(ISNUMBER($E9),ISNUMBER($F9)),IF($E9&gt;$F9,"YES","no"),"")</f>
        <v/>
      </c>
      <c r="H9" s="101" t="n">
        <v>0.1219</v>
      </c>
      <c r="I9" s="101" t="n">
        <v>0.1178</v>
      </c>
      <c r="J9" s="99">
        <f>IF(COUNT($H9:$I9)=0,"",AVERAGE($H9:$I9))</f>
        <v/>
      </c>
      <c r="K9" s="98" t="n">
        <v>16.4</v>
      </c>
      <c r="L9" s="102">
        <f>IF($K9="","",($K9-Entry!$B$13)*Entry!$B$9*100)</f>
        <v/>
      </c>
      <c r="M9" s="99">
        <f>IF(COUNT($D$4:$D9)=0,"",SQRT(SUMSQ($D$4:$D9)/COUNT($D$4:$D9))*SQRT(252))</f>
        <v/>
      </c>
      <c r="N9" s="99">
        <f>IF(OR($M9="",Entry!$B$20=""),"",$M9-Entry!$B$20)</f>
        <v/>
      </c>
      <c r="O9" s="103" t="n">
        <v>-3.86</v>
      </c>
      <c r="P9" s="104" t="n">
        <v>47.34</v>
      </c>
      <c r="Q9" s="104" t="n">
        <v>-130.32</v>
      </c>
      <c r="R9" s="105" t="n"/>
      <c r="S9" s="106" t="n">
        <v>10.56</v>
      </c>
      <c r="T9" s="106" t="n">
        <v>5.84</v>
      </c>
      <c r="U9" s="107" t="n">
        <v>-18.6</v>
      </c>
    </row>
    <row r="10" ht="15" customHeight="1" s="64">
      <c r="A10" s="96" t="n">
        <v>46309</v>
      </c>
      <c r="B10" s="97">
        <f>Entry!$B$8-$A10</f>
        <v/>
      </c>
      <c r="C10" s="98" t="n">
        <v>769.67</v>
      </c>
      <c r="D10" s="99">
        <f>IF(OR($C10="",$C9=""),"",$C10/$C9-1)</f>
        <v/>
      </c>
      <c r="E10" s="99">
        <f>IF(ISNUMBER($D10),ABS($D10),"")</f>
        <v/>
      </c>
      <c r="F10" s="99">
        <f>IF(Entry!$B$30="","",Entry!$B$30)</f>
        <v/>
      </c>
      <c r="G10" s="100">
        <f>IF(AND(ISNUMBER($E10),ISNUMBER($F10)),IF($E10&gt;$F10,"YES","no"),"")</f>
        <v/>
      </c>
      <c r="H10" s="101" t="n">
        <v>0.1202</v>
      </c>
      <c r="I10" s="101" t="n">
        <v>0.1266</v>
      </c>
      <c r="J10" s="99">
        <f>IF(COUNT($H10:$I10)=0,"",AVERAGE($H10:$I10))</f>
        <v/>
      </c>
      <c r="K10" s="98" t="n">
        <v>16.22</v>
      </c>
      <c r="L10" s="102">
        <f>IF($K10="","",($K10-Entry!$B$13)*Entry!$B$9*100)</f>
        <v/>
      </c>
      <c r="M10" s="99">
        <f>IF(COUNT($D$4:$D10)=0,"",SQRT(SUMSQ($D$4:$D10)/COUNT($D$4:$D10))*SQRT(252))</f>
        <v/>
      </c>
      <c r="N10" s="99">
        <f>IF(OR($M10="",Entry!$B$20=""),"",$M10-Entry!$B$20)</f>
        <v/>
      </c>
      <c r="O10" s="103" t="n">
        <v>-3.95</v>
      </c>
      <c r="P10" s="104" t="n">
        <v>47.3</v>
      </c>
      <c r="Q10" s="104" t="n">
        <v>-126.36</v>
      </c>
      <c r="R10" s="105" t="n"/>
      <c r="S10" s="106" t="n">
        <v>5.92</v>
      </c>
      <c r="T10" s="106" t="n">
        <v>10.3</v>
      </c>
      <c r="U10" s="107" t="n">
        <v>14.8</v>
      </c>
    </row>
    <row r="11" ht="15" customHeight="1" s="64">
      <c r="A11" s="96" t="n">
        <v>46310</v>
      </c>
      <c r="B11" s="97">
        <f>Entry!$B$8-$A11</f>
        <v/>
      </c>
      <c r="C11" s="98" t="n">
        <v>773.09</v>
      </c>
      <c r="D11" s="99">
        <f>IF(OR($C11="",$C10=""),"",$C11/$C10-1)</f>
        <v/>
      </c>
      <c r="E11" s="99">
        <f>IF(ISNUMBER($D11),ABS($D11),"")</f>
        <v/>
      </c>
      <c r="F11" s="99">
        <f>IF(Entry!$B$30="","",Entry!$B$30)</f>
        <v/>
      </c>
      <c r="G11" s="100">
        <f>IF(AND(ISNUMBER($E11),ISNUMBER($F11)),IF($E11&gt;$F11,"YES","no"),"")</f>
        <v/>
      </c>
      <c r="H11" s="101" t="n">
        <v>0.1094</v>
      </c>
      <c r="I11" s="101" t="n">
        <v>0.1291</v>
      </c>
      <c r="J11" s="99">
        <f>IF(COUNT($H11:$I11)=0,"",AVERAGE($H11:$I11))</f>
        <v/>
      </c>
      <c r="K11" s="98" t="n">
        <v>14.93</v>
      </c>
      <c r="L11" s="102">
        <f>IF($K11="","",($K11-Entry!$B$13)*Entry!$B$9*100)</f>
        <v/>
      </c>
      <c r="M11" s="99">
        <f>IF(COUNT($D$4:$D11)=0,"",SQRT(SUMSQ($D$4:$D11)/COUNT($D$4:$D11))*SQRT(252))</f>
        <v/>
      </c>
      <c r="N11" s="99">
        <f>IF(OR($M11="",Entry!$B$20=""),"",$M11-Entry!$B$20)</f>
        <v/>
      </c>
      <c r="O11" s="103" t="n">
        <v>-4.3</v>
      </c>
      <c r="P11" s="104" t="n">
        <v>49.39</v>
      </c>
      <c r="Q11" s="104" t="n">
        <v>-125.01</v>
      </c>
      <c r="R11" s="105" t="n"/>
      <c r="S11" s="106" t="n">
        <v>6.53</v>
      </c>
      <c r="T11" s="106" t="n">
        <v>8.4</v>
      </c>
      <c r="U11" s="107" t="n">
        <v>1.8</v>
      </c>
    </row>
    <row r="12" ht="15" customHeight="1" s="64">
      <c r="A12" s="96" t="n">
        <v>46311</v>
      </c>
      <c r="B12" s="97">
        <f>Entry!$B$8-$A12</f>
        <v/>
      </c>
      <c r="C12" s="98" t="n">
        <v>763.23</v>
      </c>
      <c r="D12" s="99">
        <f>IF(OR($C12="",$C11=""),"",$C12/$C11-1)</f>
        <v/>
      </c>
      <c r="E12" s="99">
        <f>IF(ISNUMBER($D12),ABS($D12),"")</f>
        <v/>
      </c>
      <c r="F12" s="99">
        <f>IF(Entry!$B$30="","",Entry!$B$30)</f>
        <v/>
      </c>
      <c r="G12" s="100">
        <f>IF(AND(ISNUMBER($E12),ISNUMBER($F12)),IF($E12&gt;$F12,"YES","no"),"")</f>
        <v/>
      </c>
      <c r="H12" s="101" t="n">
        <v>0.122</v>
      </c>
      <c r="I12" s="101" t="n">
        <v>0.1352</v>
      </c>
      <c r="J12" s="99">
        <f>IF(COUNT($H12:$I12)=0,"",AVERAGE($H12:$I12))</f>
        <v/>
      </c>
      <c r="K12" s="98" t="n">
        <v>17.7</v>
      </c>
      <c r="L12" s="102">
        <f>IF($K12="","",($K12-Entry!$B$13)*Entry!$B$9*100)</f>
        <v/>
      </c>
      <c r="M12" s="99">
        <f>IF(COUNT($D$4:$D12)=0,"",SQRT(SUMSQ($D$4:$D12)/COUNT($D$4:$D12))*SQRT(252))</f>
        <v/>
      </c>
      <c r="N12" s="99">
        <f>IF(OR($M12="",Entry!$B$20=""),"",$M12-Entry!$B$20)</f>
        <v/>
      </c>
      <c r="O12" s="103" t="n">
        <v>-3.6</v>
      </c>
      <c r="P12" s="104" t="n">
        <v>43.88</v>
      </c>
      <c r="Q12" s="104" t="n">
        <v>-103.3</v>
      </c>
      <c r="R12" s="105" t="n"/>
      <c r="S12" s="106" t="n">
        <v>3.22</v>
      </c>
      <c r="T12" s="106" t="n">
        <v>14.48</v>
      </c>
      <c r="U12" s="107" t="n">
        <v>40.8</v>
      </c>
    </row>
    <row r="13" ht="15" customHeight="1" s="64">
      <c r="A13" s="96" t="n">
        <v>46314</v>
      </c>
      <c r="B13" s="97">
        <f>Entry!$B$8-$A13</f>
        <v/>
      </c>
      <c r="C13" s="98" t="n">
        <v>766.48</v>
      </c>
      <c r="D13" s="99">
        <f>IF(OR($C13="",$C12=""),"",$C13/$C12-1)</f>
        <v/>
      </c>
      <c r="E13" s="99">
        <f>IF(ISNUMBER($D13),ABS($D13),"")</f>
        <v/>
      </c>
      <c r="F13" s="99">
        <f>IF(Entry!$B$30="","",Entry!$B$30)</f>
        <v/>
      </c>
      <c r="G13" s="100">
        <f>IF(AND(ISNUMBER($E13),ISNUMBER($F13)),IF($E13&gt;$F13,"YES","no"),"")</f>
        <v/>
      </c>
      <c r="H13" s="101" t="n">
        <v>0.133</v>
      </c>
      <c r="I13" s="101" t="n">
        <v>0.1234</v>
      </c>
      <c r="J13" s="99">
        <f>IF(COUNT($H13:$I13)=0,"",AVERAGE($H13:$I13))</f>
        <v/>
      </c>
      <c r="K13" s="98" t="n">
        <v>15</v>
      </c>
      <c r="L13" s="102">
        <f>IF($K13="","",($K13-Entry!$B$13)*Entry!$B$9*100)</f>
        <v/>
      </c>
      <c r="M13" s="99">
        <f>IF(COUNT($D$4:$D13)=0,"",SQRT(SUMSQ($D$4:$D13)/COUNT($D$4:$D13))*SQRT(252))</f>
        <v/>
      </c>
      <c r="N13" s="99">
        <f>IF(OR($M13="",Entry!$B$20=""),"",$M13-Entry!$B$20)</f>
        <v/>
      </c>
      <c r="O13" s="103" t="n">
        <v>-4.26</v>
      </c>
      <c r="P13" s="104" t="n">
        <v>53.41</v>
      </c>
      <c r="Q13" s="104" t="n">
        <v>-96.7</v>
      </c>
      <c r="R13" s="105" t="n"/>
      <c r="S13" s="106" t="n">
        <v>3.94</v>
      </c>
      <c r="T13" s="106" t="n">
        <v>11.06</v>
      </c>
      <c r="U13" s="107" t="n">
        <v>33.4</v>
      </c>
    </row>
    <row r="14" ht="15" customHeight="1" s="64">
      <c r="A14" s="96" t="n">
        <v>46315</v>
      </c>
      <c r="B14" s="97">
        <f>Entry!$B$8-$A14</f>
        <v/>
      </c>
      <c r="C14" s="98" t="n">
        <v>769.05</v>
      </c>
      <c r="D14" s="99">
        <f>IF(OR($C14="",$C13=""),"",$C14/$C13-1)</f>
        <v/>
      </c>
      <c r="E14" s="99">
        <f>IF(ISNUMBER($D14),ABS($D14),"")</f>
        <v/>
      </c>
      <c r="F14" s="99">
        <f>IF(Entry!$B$30="","",Entry!$B$30)</f>
        <v/>
      </c>
      <c r="G14" s="100">
        <f>IF(AND(ISNUMBER($E14),ISNUMBER($F14)),IF($E14&gt;$F14,"YES","no"),"")</f>
        <v/>
      </c>
      <c r="H14" s="101" t="n">
        <v>0.1365</v>
      </c>
      <c r="I14" s="101" t="n">
        <v>0.1204</v>
      </c>
      <c r="J14" s="99">
        <f>IF(COUNT($H14:$I14)=0,"",AVERAGE($H14:$I14))</f>
        <v/>
      </c>
      <c r="K14" s="98" t="n">
        <v>13.72</v>
      </c>
      <c r="L14" s="102">
        <f>IF($K14="","",($K14-Entry!$B$13)*Entry!$B$9*100)</f>
        <v/>
      </c>
      <c r="M14" s="99">
        <f>IF(COUNT($D$4:$D14)=0,"",SQRT(SUMSQ($D$4:$D14)/COUNT($D$4:$D14))*SQRT(252))</f>
        <v/>
      </c>
      <c r="N14" s="99">
        <f>IF(OR($M14="",Entry!$B$20=""),"",$M14-Entry!$B$20)</f>
        <v/>
      </c>
      <c r="O14" s="103" t="n">
        <v>-4.68</v>
      </c>
      <c r="P14" s="104" t="n">
        <v>60.2</v>
      </c>
      <c r="Q14" s="104" t="n">
        <v>-97.03</v>
      </c>
      <c r="R14" s="105" t="n"/>
      <c r="S14" s="106" t="n">
        <v>4.7</v>
      </c>
      <c r="T14" s="106" t="n">
        <v>9.02</v>
      </c>
      <c r="U14" s="107" t="n">
        <v>23.7</v>
      </c>
    </row>
    <row r="15" ht="15" customHeight="1" s="64">
      <c r="A15" s="96" t="n">
        <v>46316</v>
      </c>
      <c r="B15" s="97">
        <f>Entry!$B$8-$A15</f>
        <v/>
      </c>
      <c r="C15" s="98" t="n"/>
      <c r="D15" s="99">
        <f>IF(OR($C15="",$C14=""),"",$C15/$C14-1)</f>
        <v/>
      </c>
      <c r="E15" s="99">
        <f>IF(ISNUMBER($D15),ABS($D15),"")</f>
        <v/>
      </c>
      <c r="F15" s="99">
        <f>IF(Entry!$B$30="","",Entry!$B$30)</f>
        <v/>
      </c>
      <c r="G15" s="100">
        <f>IF(AND(ISNUMBER($E15),ISNUMBER($F15)),IF($E15&gt;$F15,"YES","no"),"")</f>
        <v/>
      </c>
      <c r="H15" s="101" t="n"/>
      <c r="I15" s="101" t="n"/>
      <c r="J15" s="99">
        <f>IF(COUNT($H15:$I15)=0,"",AVERAGE($H15:$I15))</f>
        <v/>
      </c>
      <c r="K15" s="98" t="n"/>
      <c r="L15" s="102">
        <f>IF($K15="","",($K15-Entry!$B$13)*Entry!$B$9*100)</f>
        <v/>
      </c>
      <c r="M15" s="99">
        <f>IF(COUNT($D$4:$D15)=0,"",SQRT(SUMSQ($D$4:$D15)/COUNT($D$4:$D15))*SQRT(252))</f>
        <v/>
      </c>
      <c r="N15" s="99">
        <f>IF(OR($M15="",Entry!$B$20=""),"",$M15-Entry!$B$20)</f>
        <v/>
      </c>
      <c r="O15" s="103" t="n"/>
      <c r="P15" s="104" t="n"/>
      <c r="Q15" s="104" t="n"/>
      <c r="R15" s="105" t="n"/>
      <c r="S15" s="106" t="n"/>
      <c r="T15" s="106" t="n"/>
      <c r="U15" s="107" t="n"/>
    </row>
    <row r="16" ht="15" customHeight="1" s="64">
      <c r="A16" s="96" t="n">
        <v>46317</v>
      </c>
      <c r="B16" s="97">
        <f>Entry!$B$8-$A16</f>
        <v/>
      </c>
      <c r="C16" s="98" t="n">
        <v>763.96</v>
      </c>
      <c r="D16" s="99">
        <f>IF(OR($C16="",$C15=""),"",$C16/$C15-1)</f>
        <v/>
      </c>
      <c r="E16" s="99">
        <f>IF(ISNUMBER($D16),ABS($D16),"")</f>
        <v/>
      </c>
      <c r="F16" s="99">
        <f>IF(Entry!$B$30="","",Entry!$B$30)</f>
        <v/>
      </c>
      <c r="G16" s="100">
        <f>IF(AND(ISNUMBER($E16),ISNUMBER($F16)),IF($E16&gt;$F16,"YES","no"),"")</f>
        <v/>
      </c>
      <c r="H16" s="101" t="n">
        <v>0.1471</v>
      </c>
      <c r="I16" s="101" t="n">
        <v>0.1417</v>
      </c>
      <c r="J16" s="99">
        <f>IF(COUNT($H16:$I16)=0,"",AVERAGE($H16:$I16))</f>
        <v/>
      </c>
      <c r="K16" s="98" t="n">
        <v>15.64</v>
      </c>
      <c r="L16" s="102">
        <f>IF($K16="","",($K16-Entry!$B$13)*Entry!$B$9*100)</f>
        <v/>
      </c>
      <c r="M16" s="99">
        <f>IF(COUNT($D$4:$D16)=0,"",SQRT(SUMSQ($D$4:$D16)/COUNT($D$4:$D16))*SQRT(252))</f>
        <v/>
      </c>
      <c r="N16" s="99">
        <f>IF(OR($M16="",Entry!$B$20=""),"",$M16-Entry!$B$20)</f>
        <v/>
      </c>
      <c r="O16" s="103" t="n">
        <v>-4.03</v>
      </c>
      <c r="P16" s="104" t="n">
        <v>63.15</v>
      </c>
      <c r="Q16" s="104" t="n">
        <v>-74.47</v>
      </c>
      <c r="R16" s="105" t="n"/>
      <c r="S16" s="106" t="n">
        <v>2.74</v>
      </c>
      <c r="T16" s="106" t="n">
        <v>12.9</v>
      </c>
      <c r="U16" s="107" t="n">
        <v>46.5</v>
      </c>
    </row>
    <row r="17" ht="15" customHeight="1" s="64">
      <c r="A17" s="96" t="n">
        <v>46318</v>
      </c>
      <c r="B17" s="97">
        <f>Entry!$B$8-$A17</f>
        <v/>
      </c>
      <c r="C17" s="98" t="n">
        <v>759.97</v>
      </c>
      <c r="D17" s="99">
        <f>IF(OR($C17="",$C16=""),"",$C17/$C16-1)</f>
        <v/>
      </c>
      <c r="E17" s="99">
        <f>IF(ISNUMBER($D17),ABS($D17),"")</f>
        <v/>
      </c>
      <c r="F17" s="99">
        <f>IF(Entry!$B$30="","",Entry!$B$30)</f>
        <v/>
      </c>
      <c r="G17" s="100">
        <f>IF(AND(ISNUMBER($E17),ISNUMBER($F17)),IF($E17&gt;$F17,"YES","no"),"")</f>
        <v/>
      </c>
      <c r="H17" s="101" t="n">
        <v>0.1422</v>
      </c>
      <c r="I17" s="101" t="n">
        <v>0.1237</v>
      </c>
      <c r="J17" s="99">
        <f>IF(COUNT($H17:$I17)=0,"",AVERAGE($H17:$I17))</f>
        <v/>
      </c>
      <c r="K17" s="98" t="n">
        <v>16.71</v>
      </c>
      <c r="L17" s="102">
        <f>IF($K17="","",($K17-Entry!$B$13)*Entry!$B$9*100)</f>
        <v/>
      </c>
      <c r="M17" s="99">
        <f>IF(COUNT($D$4:$D17)=0,"",SQRT(SUMSQ($D$4:$D17)/COUNT($D$4:$D17))*SQRT(252))</f>
        <v/>
      </c>
      <c r="N17" s="99">
        <f>IF(OR($M17="",Entry!$B$20=""),"",$M17-Entry!$B$20)</f>
        <v/>
      </c>
      <c r="O17" s="103" t="n">
        <v>-3.4</v>
      </c>
      <c r="P17" s="104" t="n">
        <v>41.84</v>
      </c>
      <c r="Q17" s="104" t="n">
        <v>-50.04</v>
      </c>
      <c r="R17" s="105" t="n"/>
      <c r="S17" s="106" t="n">
        <v>1.37</v>
      </c>
      <c r="T17" s="106" t="n">
        <v>15.34</v>
      </c>
      <c r="U17" s="107" t="n">
        <v>69</v>
      </c>
    </row>
    <row r="18" ht="15" customHeight="1" s="64">
      <c r="A18" s="96" t="n">
        <v>46321</v>
      </c>
      <c r="B18" s="97">
        <f>Entry!$B$8-$A18</f>
        <v/>
      </c>
      <c r="C18" s="98" t="n">
        <v>765.37</v>
      </c>
      <c r="D18" s="99">
        <f>IF(OR($C18="",$C17=""),"",$C18/$C17-1)</f>
        <v/>
      </c>
      <c r="E18" s="99">
        <f>IF(ISNUMBER($D18),ABS($D18),"")</f>
        <v/>
      </c>
      <c r="F18" s="99">
        <f>IF(Entry!$B$30="","",Entry!$B$30)</f>
        <v/>
      </c>
      <c r="G18" s="100">
        <f>IF(AND(ISNUMBER($E18),ISNUMBER($F18)),IF($E18&gt;$F18,"YES","no"),"")</f>
        <v/>
      </c>
      <c r="H18" s="101" t="n">
        <v>0.1451</v>
      </c>
      <c r="I18" s="101" t="n">
        <v>0.153</v>
      </c>
      <c r="J18" s="99">
        <f>IF(COUNT($H18:$I18)=0,"",AVERAGE($H18:$I18))</f>
        <v/>
      </c>
      <c r="K18" s="98" t="n">
        <v>12.32</v>
      </c>
      <c r="L18" s="102">
        <f>IF($K18="","",($K18-Entry!$B$13)*Entry!$B$9*100)</f>
        <v/>
      </c>
      <c r="M18" s="99">
        <f>IF(COUNT($D$4:$D18)=0,"",SQRT(SUMSQ($D$4:$D18)/COUNT($D$4:$D18))*SQRT(252))</f>
        <v/>
      </c>
      <c r="N18" s="99">
        <f>IF(OR($M18="",Entry!$B$20=""),"",$M18-Entry!$B$20)</f>
        <v/>
      </c>
      <c r="O18" s="103" t="n">
        <v>-4.98</v>
      </c>
      <c r="P18" s="104" t="n">
        <v>84.06999999999999</v>
      </c>
      <c r="Q18" s="104" t="n">
        <v>-47.67</v>
      </c>
      <c r="R18" s="105" t="n"/>
      <c r="S18" s="106" t="n">
        <v>1.42</v>
      </c>
      <c r="T18" s="106" t="n">
        <v>10.9</v>
      </c>
      <c r="U18" s="107" t="n">
        <v>55.6</v>
      </c>
    </row>
    <row r="19" ht="15" customHeight="1" s="64">
      <c r="A19" s="96" t="n">
        <v>46322</v>
      </c>
      <c r="B19" s="97">
        <f>Entry!$B$8-$A19</f>
        <v/>
      </c>
      <c r="C19" s="98" t="n">
        <v>769.66</v>
      </c>
      <c r="D19" s="99">
        <f>IF(OR($C19="",$C18=""),"",$C19/$C18-1)</f>
        <v/>
      </c>
      <c r="E19" s="99">
        <f>IF(ISNUMBER($D19),ABS($D19),"")</f>
        <v/>
      </c>
      <c r="F19" s="99">
        <f>IF(Entry!$B$30="","",Entry!$B$30)</f>
        <v/>
      </c>
      <c r="G19" s="100">
        <f>IF(AND(ISNUMBER($E19),ISNUMBER($F19)),IF($E19&gt;$F19,"YES","no"),"")</f>
        <v/>
      </c>
      <c r="H19" s="101" t="n">
        <v>0.1545</v>
      </c>
      <c r="I19" s="101" t="n">
        <v>0.1389</v>
      </c>
      <c r="J19" s="99">
        <f>IF(COUNT($H19:$I19)=0,"",AVERAGE($H19:$I19))</f>
        <v/>
      </c>
      <c r="K19" s="98" t="n">
        <v>9.18</v>
      </c>
      <c r="L19" s="102">
        <f>IF($K19="","",($K19-Entry!$B$13)*Entry!$B$9*100)</f>
        <v/>
      </c>
      <c r="M19" s="99">
        <f>IF(COUNT($D$4:$D19)=0,"",SQRT(SUMSQ($D$4:$D19)/COUNT($D$4:$D19))*SQRT(252))</f>
        <v/>
      </c>
      <c r="N19" s="99">
        <f>IF(OR($M19="",Entry!$B$20=""),"",$M19-Entry!$B$20)</f>
        <v/>
      </c>
      <c r="O19" s="103" t="n">
        <v>-6.93</v>
      </c>
      <c r="P19" s="104" t="n">
        <v>117.48</v>
      </c>
      <c r="Q19" s="104" t="n">
        <v>-49.36</v>
      </c>
      <c r="R19" s="105" t="n"/>
      <c r="S19" s="106" t="n">
        <v>2.24</v>
      </c>
      <c r="T19" s="106" t="n">
        <v>6.94</v>
      </c>
      <c r="U19" s="107" t="n">
        <v>37.6</v>
      </c>
    </row>
    <row r="20" ht="15" customHeight="1" s="64">
      <c r="A20" s="96" t="n">
        <v>46323</v>
      </c>
      <c r="B20" s="97">
        <f>Entry!$B$8-$A20</f>
        <v/>
      </c>
      <c r="C20" s="98" t="n">
        <v>772.3099999999999</v>
      </c>
      <c r="D20" s="99">
        <f>IF(OR($C20="",$C19=""),"",$C20/$C19-1)</f>
        <v/>
      </c>
      <c r="E20" s="99">
        <f>IF(ISNUMBER($D20),ABS($D20),"")</f>
        <v/>
      </c>
      <c r="F20" s="99">
        <f>IF(Entry!$B$30="","",Entry!$B$30)</f>
        <v/>
      </c>
      <c r="G20" s="100">
        <f>IF(AND(ISNUMBER($E20),ISNUMBER($F20)),IF($E20&gt;$F20,"YES","no"),"")</f>
        <v/>
      </c>
      <c r="H20" s="101" t="n">
        <v>0.1412</v>
      </c>
      <c r="I20" s="101" t="n">
        <v>0.1576</v>
      </c>
      <c r="J20" s="99">
        <f>IF(COUNT($H20:$I20)=0,"",AVERAGE($H20:$I20))</f>
        <v/>
      </c>
      <c r="K20" s="98" t="n">
        <v>7.12</v>
      </c>
      <c r="L20" s="102">
        <f>IF($K20="","",($K20-Entry!$B$13)*Entry!$B$9*100)</f>
        <v/>
      </c>
      <c r="M20" s="99">
        <f>IF(COUNT($D$4:$D20)=0,"",SQRT(SUMSQ($D$4:$D20)/COUNT($D$4:$D20))*SQRT(252))</f>
        <v/>
      </c>
      <c r="N20" s="99">
        <f>IF(OR($M20="",Entry!$B$20=""),"",$M20-Entry!$B$20)</f>
        <v/>
      </c>
      <c r="O20" s="103" t="n">
        <v>-8.98</v>
      </c>
      <c r="P20" s="104" t="n">
        <v>161.35</v>
      </c>
      <c r="Q20" s="104" t="n">
        <v>-43.73</v>
      </c>
      <c r="R20" s="105" t="n"/>
      <c r="S20" s="106" t="n">
        <v>2.12</v>
      </c>
      <c r="T20" s="106" t="n">
        <v>5</v>
      </c>
      <c r="U20" s="107" t="n">
        <v>22.8</v>
      </c>
    </row>
    <row r="21" ht="15.75" customHeight="1" s="64">
      <c r="A21" s="96" t="n">
        <v>46324</v>
      </c>
      <c r="B21" s="97">
        <f>Entry!$B$8-$A21</f>
        <v/>
      </c>
      <c r="C21" s="98" t="n">
        <v>769.36</v>
      </c>
      <c r="D21" s="99">
        <f>IF(OR($C21="",$C20=""),"",$C21/$C20-1)</f>
        <v/>
      </c>
      <c r="E21" s="99">
        <f>IF(ISNUMBER($D21),ABS($D21),"")</f>
        <v/>
      </c>
      <c r="F21" s="99">
        <f>IF(Entry!$B$30="","",Entry!$B$30)</f>
        <v/>
      </c>
      <c r="G21" s="100">
        <f>IF(AND(ISNUMBER($E21),ISNUMBER($F21)),IF($E21&gt;$F21,"YES","no"),"")</f>
        <v/>
      </c>
      <c r="H21" s="101" t="n">
        <v>0.09379999999999999</v>
      </c>
      <c r="I21" s="101" t="n">
        <v>0.3852</v>
      </c>
      <c r="J21" s="99">
        <f>IF(COUNT($H21:$I21)=0,"",AVERAGE($H21:$I21))</f>
        <v/>
      </c>
      <c r="K21" s="98" t="n">
        <v>9.5</v>
      </c>
      <c r="L21" s="102">
        <f>IF($K21="","",($K21-Entry!$B$13)*Entry!$B$9*100)</f>
        <v/>
      </c>
      <c r="M21" s="99">
        <f>IF(COUNT($D$4:$D21)=0,"",SQRT(SUMSQ($D$4:$D21)/COUNT($D$4:$D21))*SQRT(252))</f>
        <v/>
      </c>
      <c r="N21" s="99">
        <f>IF(OR($M21="",Entry!$B$20=""),"",$M21-Entry!$B$20)</f>
        <v/>
      </c>
      <c r="O21" s="103" t="n">
        <v>-6.04</v>
      </c>
      <c r="P21" s="104" t="n">
        <v>312.36</v>
      </c>
      <c r="Q21" s="104" t="n">
        <v>-20.63</v>
      </c>
      <c r="R21" s="108" t="n"/>
      <c r="S21" s="106" t="n">
        <v>0.12</v>
      </c>
      <c r="T21" s="106" t="n">
        <v>9.380000000000001</v>
      </c>
      <c r="U21" s="107" t="n">
        <v>56.4</v>
      </c>
    </row>
    <row r="22" ht="15.75" customHeight="1" s="64">
      <c r="A22" s="96" t="n">
        <v>46325</v>
      </c>
      <c r="B22" s="97">
        <f>Entry!$B$8-$A22</f>
        <v/>
      </c>
      <c r="C22" s="98" t="n">
        <v>755.72</v>
      </c>
      <c r="D22" s="99">
        <f>IF(OR($C22="",$C21=""),"",$C22/$C21-1)</f>
        <v/>
      </c>
      <c r="E22" s="99">
        <f>IF(ISNUMBER($D22),ABS($D22),"")</f>
        <v/>
      </c>
      <c r="F22" s="99">
        <f>IF(Entry!$B$30="","",Entry!$B$30)</f>
        <v/>
      </c>
      <c r="G22" s="100">
        <f>IF(AND(ISNUMBER($E22),ISNUMBER($F22)),IF($E22&gt;$F22,"YES","no"),"")</f>
        <v/>
      </c>
      <c r="H22" s="101" t="n"/>
      <c r="I22" s="101" t="n"/>
      <c r="J22" s="99">
        <f>IF(COUNT($H22:$I22)=0,"",AVERAGE($H22:$I22))</f>
        <v/>
      </c>
      <c r="K22" s="98" t="n"/>
      <c r="L22" s="102">
        <f>IF($K22="","",($K22-Entry!$B$13)*Entry!$B$9*100)</f>
        <v/>
      </c>
      <c r="M22" s="99">
        <f>IF(COUNT($D$4:$D22)=0,"",SQRT(SUMSQ($D$4:$D22)/COUNT($D$4:$D22))*SQRT(252))</f>
        <v/>
      </c>
      <c r="N22" s="99">
        <f>IF(OR($M22="",Entry!$B$20=""),"",$M22-Entry!$B$20)</f>
        <v/>
      </c>
      <c r="O22" s="103" t="n"/>
      <c r="P22" s="104" t="n"/>
      <c r="Q22" s="104" t="n"/>
      <c r="R22" s="105" t="n"/>
      <c r="S22" s="106" t="n">
        <v>0</v>
      </c>
      <c r="T22" s="106" t="n">
        <v>18.24</v>
      </c>
      <c r="U22" s="107" t="n"/>
    </row>
    <row r="23" ht="15.75" customHeight="1" s="64">
      <c r="A23" s="96" t="n"/>
      <c r="B23" s="97">
        <f>Entry!$B$8-$A23</f>
        <v/>
      </c>
      <c r="C23" s="98" t="n"/>
      <c r="D23" s="99">
        <f>IF(OR($C23="",$C22=""),"",$C23/$C22-1)</f>
        <v/>
      </c>
      <c r="E23" s="99">
        <f>IF(ISNUMBER($D23),ABS($D23),"")</f>
        <v/>
      </c>
      <c r="F23" s="99">
        <f>IF(Entry!$B$30="","",Entry!$B$30)</f>
        <v/>
      </c>
      <c r="G23" s="100">
        <f>IF(AND(ISNUMBER($E23),ISNUMBER($F23)),IF($E23&gt;$F23,"YES","no"),"")</f>
        <v/>
      </c>
      <c r="H23" s="101" t="n"/>
      <c r="I23" s="101" t="n"/>
      <c r="J23" s="99">
        <f>IF(COUNT($H23:$I23)=0,"",AVERAGE($H23:$I23))</f>
        <v/>
      </c>
      <c r="K23" s="98" t="n"/>
      <c r="L23" s="102">
        <f>IF($K23="","",($K23-Entry!$B$13)*Entry!$B$9*100)</f>
        <v/>
      </c>
      <c r="M23" s="99">
        <f>IF(COUNT($D$4:$D23)=0,"",SQRT(SUMSQ($D$4:$D23)/COUNT($D$4:$D23))*SQRT(252))</f>
        <v/>
      </c>
      <c r="N23" s="99">
        <f>IF(OR($M23="",Entry!$B$20=""),"",$M23-Entry!$B$20)</f>
        <v/>
      </c>
      <c r="O23" s="103" t="n"/>
      <c r="P23" s="104" t="n"/>
      <c r="Q23" s="104" t="n"/>
      <c r="R23" s="105" t="n"/>
      <c r="S23" s="106" t="n"/>
      <c r="T23" s="106" t="n"/>
      <c r="U23" s="107" t="n"/>
    </row>
    <row r="24" ht="15.75" customHeight="1" s="64">
      <c r="A24" s="96" t="n"/>
      <c r="B24" s="97">
        <f>Entry!$B$8-$A24</f>
        <v/>
      </c>
      <c r="C24" s="98" t="n"/>
      <c r="D24" s="99">
        <f>IF(OR($C24="",$C23=""),"",$C24/$C23-1)</f>
        <v/>
      </c>
      <c r="E24" s="99">
        <f>IF(ISNUMBER($D24),ABS($D24),"")</f>
        <v/>
      </c>
      <c r="F24" s="99">
        <f>IF(Entry!$B$30="","",Entry!$B$30)</f>
        <v/>
      </c>
      <c r="G24" s="100">
        <f>IF(AND(ISNUMBER($E24),ISNUMBER($F24)),IF($E24&gt;$F24,"YES","no"),"")</f>
        <v/>
      </c>
      <c r="H24" s="101" t="n"/>
      <c r="I24" s="101" t="n"/>
      <c r="J24" s="99">
        <f>IF(COUNT($H24:$I24)=0,"",AVERAGE($H24:$I24))</f>
        <v/>
      </c>
      <c r="K24" s="98" t="n"/>
      <c r="L24" s="102">
        <f>IF($K24="","",($K24-Entry!$B$13)*Entry!$B$9*100)</f>
        <v/>
      </c>
      <c r="M24" s="99">
        <f>IF(COUNT($D$4:$D24)=0,"",SQRT(SUMSQ($D$4:$D24)/COUNT($D$4:$D24))*SQRT(252))</f>
        <v/>
      </c>
      <c r="N24" s="99">
        <f>IF(OR($M24="",Entry!$B$20=""),"",$M24-Entry!$B$20)</f>
        <v/>
      </c>
      <c r="O24" s="103" t="n"/>
      <c r="P24" s="104" t="n"/>
      <c r="Q24" s="104" t="n"/>
      <c r="R24" s="105" t="n"/>
      <c r="S24" s="106" t="n"/>
      <c r="T24" s="106" t="n"/>
      <c r="U24" s="107" t="n"/>
    </row>
    <row r="25" ht="15.75" customHeight="1" s="64">
      <c r="A25" s="96" t="n"/>
      <c r="B25" s="97">
        <f>Entry!$B$8-$A25</f>
        <v/>
      </c>
      <c r="C25" s="98" t="n"/>
      <c r="D25" s="99">
        <f>IF(OR($C25="",$C24=""),"",$C25/$C24-1)</f>
        <v/>
      </c>
      <c r="E25" s="99">
        <f>IF(ISNUMBER($D25),ABS($D25),"")</f>
        <v/>
      </c>
      <c r="F25" s="99">
        <f>IF(Entry!$B$30="","",Entry!$B$30)</f>
        <v/>
      </c>
      <c r="G25" s="100">
        <f>IF(AND(ISNUMBER($E25),ISNUMBER($F25)),IF($E25&gt;$F25,"YES","no"),"")</f>
        <v/>
      </c>
      <c r="H25" s="101" t="n"/>
      <c r="I25" s="101" t="n"/>
      <c r="J25" s="99">
        <f>IF(COUNT($H25:$I25)=0,"",AVERAGE($H25:$I25))</f>
        <v/>
      </c>
      <c r="K25" s="98" t="n"/>
      <c r="L25" s="102">
        <f>IF($K25="","",($K25-Entry!$B$13)*Entry!$B$9*100)</f>
        <v/>
      </c>
      <c r="M25" s="99">
        <f>IF(COUNT($D$4:$D25)=0,"",SQRT(SUMSQ($D$4:$D25)/COUNT($D$4:$D25))*SQRT(252))</f>
        <v/>
      </c>
      <c r="N25" s="99">
        <f>IF(OR($M25="",Entry!$B$20=""),"",$M25-Entry!$B$20)</f>
        <v/>
      </c>
      <c r="O25" s="103" t="n"/>
      <c r="P25" s="104" t="n"/>
      <c r="Q25" s="104" t="n"/>
      <c r="R25" s="105" t="n"/>
      <c r="S25" s="106" t="n"/>
      <c r="T25" s="106" t="n"/>
      <c r="U25" s="107" t="n"/>
    </row>
    <row r="26" ht="15.75" customHeight="1" s="64">
      <c r="A26" s="96" t="n"/>
      <c r="B26" s="97">
        <f>Entry!$B$8-$A26</f>
        <v/>
      </c>
      <c r="C26" s="98" t="n"/>
      <c r="D26" s="99">
        <f>IF(OR($C26="",$C25=""),"",$C26/$C25-1)</f>
        <v/>
      </c>
      <c r="E26" s="99">
        <f>IF(ISNUMBER($D26),ABS($D26),"")</f>
        <v/>
      </c>
      <c r="F26" s="99">
        <f>IF(Entry!$B$30="","",Entry!$B$30)</f>
        <v/>
      </c>
      <c r="G26" s="100">
        <f>IF(AND(ISNUMBER($E26),ISNUMBER($F26)),IF($E26&gt;$F26,"YES","no"),"")</f>
        <v/>
      </c>
      <c r="H26" s="101" t="n"/>
      <c r="I26" s="101" t="n"/>
      <c r="J26" s="99">
        <f>IF(COUNT($H26:$I26)=0,"",AVERAGE($H26:$I26))</f>
        <v/>
      </c>
      <c r="K26" s="98" t="n"/>
      <c r="L26" s="102">
        <f>IF($K26="","",($K26-Entry!$B$13)*Entry!$B$9*100)</f>
        <v/>
      </c>
      <c r="M26" s="99">
        <f>IF(COUNT($D$4:$D26)=0,"",SQRT(SUMSQ($D$4:$D26)/COUNT($D$4:$D26))*SQRT(252))</f>
        <v/>
      </c>
      <c r="N26" s="99">
        <f>IF(OR($M26="",Entry!$B$20=""),"",$M26-Entry!$B$20)</f>
        <v/>
      </c>
      <c r="O26" s="103" t="n"/>
      <c r="P26" s="104" t="n"/>
      <c r="Q26" s="104" t="n"/>
      <c r="R26" s="109" t="n"/>
      <c r="S26" s="106" t="n"/>
      <c r="T26" s="106" t="n"/>
      <c r="U26" s="107" t="n"/>
    </row>
    <row r="27" ht="15.75" customHeight="1" s="64"/>
    <row r="28" ht="15.75" customHeight="1" s="64">
      <c r="A28" s="67" t="inlineStr">
        <is>
          <t>SUMMARY</t>
        </is>
      </c>
      <c r="B28" s="68" t="n"/>
      <c r="C28" s="68" t="n"/>
      <c r="D28" s="68" t="n"/>
    </row>
    <row r="29" ht="15.75" customHeight="1" s="64">
      <c r="A29" s="69" t="inlineStr">
        <is>
          <t>Days logged</t>
        </is>
      </c>
      <c r="B29" s="110">
        <f>COUNT($D$4:$D$26)</f>
        <v/>
      </c>
    </row>
    <row r="30" ht="15.75" customHeight="1" s="64">
      <c r="A30" s="69" t="inlineStr">
        <is>
          <t>Days above the bar</t>
        </is>
      </c>
      <c r="B30" s="110">
        <f>COUNTIF($G$4:$G$26,"YES")</f>
        <v/>
      </c>
    </row>
    <row r="31" ht="15.75" customHeight="1" s="64">
      <c r="A31" s="69" t="inlineStr">
        <is>
          <t>Hit rate</t>
        </is>
      </c>
      <c r="B31" s="111">
        <f>IF(COUNT($D$4:$D$26)=0,"",COUNTIF($G$4:$G$26,"YES")/COUNT($D$4:$D$26))</f>
        <v/>
      </c>
    </row>
    <row r="32" ht="15.75" customHeight="1" s="64">
      <c r="A32" s="69" t="inlineStr">
        <is>
          <t>Realized vol to date (ann)</t>
        </is>
      </c>
      <c r="B32" s="111">
        <f>IF(COUNT($D$4:$D$26)=0,"",SQRT(SUMSQ($D$4:$D$26)/COUNT($D$4:$D$26))*SQRT(252))</f>
        <v/>
      </c>
    </row>
    <row r="33" ht="15.75" customHeight="1" s="64">
      <c r="A33" s="69" t="inlineStr">
        <is>
          <t>Implied vol paid at entry</t>
        </is>
      </c>
      <c r="B33" s="111">
        <f>IF(Entry!$B$20="","",Entry!$B$20)</f>
        <v/>
      </c>
    </row>
    <row r="34" ht="15.75" customHeight="1" s="64">
      <c r="A34" s="69" t="inlineStr">
        <is>
          <t>Realized − Implied</t>
        </is>
      </c>
      <c r="B34" s="111">
        <f>IF(OR($B32="",$B33=""),"",$B32-$B33)</f>
        <v/>
      </c>
    </row>
    <row r="35" ht="15.75" customHeight="1" s="64">
      <c r="A35" s="69" t="inlineStr">
        <is>
          <t>Latest mark-to-market P&amp;L</t>
        </is>
      </c>
      <c r="B35" s="112">
        <f>IFERROR(LOOKUP(9.99E+307,$L$4:$L$26),"")</f>
        <v/>
      </c>
    </row>
    <row r="36" ht="15.75" customHeight="1" s="64"/>
    <row r="37" ht="15.75" customHeight="1" s="64">
      <c r="A37" s="113" t="inlineStr">
        <is>
          <t>Note: 'Realized − Implied' and mark-to-market P&amp;L will not agree day to day. Vega moves the P&amp;L independently of realized movement. Where they diverge is the interesting part — log why in Notes.</t>
        </is>
      </c>
    </row>
    <row r="38" ht="15.75" customHeight="1" s="64"/>
    <row r="39" ht="15.75" customHeight="1" s="64">
      <c r="A39" s="114" t="inlineStr">
        <is>
          <t>EXAMPLE ROW — format reference only, not part of the log. Do not edit.</t>
        </is>
      </c>
    </row>
    <row r="40" ht="15.75" customHeight="1" s="64">
      <c r="A40" s="115" t="n">
        <v>46259</v>
      </c>
      <c r="B40" s="116" t="n">
        <v>31</v>
      </c>
      <c r="C40" s="117" t="n">
        <v>769.1</v>
      </c>
      <c r="D40" s="118" t="n">
        <v>0.0031</v>
      </c>
      <c r="E40" s="118" t="n">
        <v>0.0031</v>
      </c>
      <c r="F40" s="118" t="n">
        <v>0.0081</v>
      </c>
      <c r="G40" s="119" t="inlineStr">
        <is>
          <t>no</t>
        </is>
      </c>
      <c r="H40" s="118" t="n">
        <v>0.1265</v>
      </c>
      <c r="I40" s="118" t="n">
        <v>0.1265</v>
      </c>
      <c r="J40" s="118" t="n">
        <v>0.1265</v>
      </c>
      <c r="K40" s="117" t="n">
        <v>22.9</v>
      </c>
      <c r="L40" s="120" t="n">
        <v>-1260</v>
      </c>
      <c r="M40" s="118" t="n">
        <v>0.0492</v>
      </c>
      <c r="N40" s="118" t="n">
        <v>-0.0788</v>
      </c>
      <c r="O40" s="121" t="n"/>
      <c r="P40" s="121" t="n"/>
      <c r="Q40" s="121" t="n"/>
      <c r="R40" s="121" t="inlineStr">
        <is>
          <t>quiet tape, theta day</t>
        </is>
      </c>
    </row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63" min="1" max="1"/>
    <col width="12" customWidth="1" style="63" min="2" max="2"/>
    <col width="44" customWidth="1" style="63" min="3" max="3"/>
    <col width="18" customWidth="1" style="63" min="4" max="4"/>
  </cols>
  <sheetData>
    <row r="1" ht="15" customHeight="1" s="64">
      <c r="A1" s="122" t="inlineStr">
        <is>
          <t>POSITION — LEGS &amp; ASSUMPTIONS  (read by straddle_tool.py; keep this layout)</t>
        </is>
      </c>
    </row>
    <row r="2" ht="15" customHeight="1" s="64">
      <c r="A2" s="123" t="inlineStr">
        <is>
          <t>Yellow cells are inputs. Legs start at row 6, one per row, until a blank.</t>
        </is>
      </c>
    </row>
    <row r="4" ht="15" customHeight="1" s="64">
      <c r="A4" s="90" t="inlineStr">
        <is>
          <t>LEGS</t>
        </is>
      </c>
    </row>
    <row r="5" ht="15" customHeight="1" s="64">
      <c r="A5" s="89" t="inlineStr">
        <is>
          <t>Right (C/P)</t>
        </is>
      </c>
      <c r="B5" s="89" t="inlineStr">
        <is>
          <t>Strike</t>
        </is>
      </c>
      <c r="C5" s="89" t="inlineStr">
        <is>
          <t>Expiry</t>
        </is>
      </c>
      <c r="D5" s="89" t="inlineStr">
        <is>
          <t>Contracts (signed)</t>
        </is>
      </c>
    </row>
    <row r="6" ht="15" customHeight="1" s="64">
      <c r="A6" s="124" t="inlineStr">
        <is>
          <t>C</t>
        </is>
      </c>
      <c r="B6" s="106" t="n">
        <v>775</v>
      </c>
      <c r="C6" s="125" t="n">
        <v>46325</v>
      </c>
      <c r="D6" s="124" t="n">
        <v>-1</v>
      </c>
    </row>
    <row r="7" ht="15" customHeight="1" s="64">
      <c r="A7" s="124" t="inlineStr">
        <is>
          <t>P</t>
        </is>
      </c>
      <c r="B7" s="106" t="n">
        <v>775</v>
      </c>
      <c r="C7" s="125" t="n">
        <v>46325</v>
      </c>
      <c r="D7" s="124" t="n">
        <v>-1</v>
      </c>
    </row>
    <row r="8"/>
    <row r="9" ht="15" customHeight="1" s="64">
      <c r="A9" s="90" t="inlineStr">
        <is>
          <t>ASSUMPTIONS</t>
        </is>
      </c>
    </row>
    <row r="10" ht="15" customHeight="1" s="64">
      <c r="A10" s="63" t="inlineStr">
        <is>
          <t>Risk-free rate (annual)</t>
        </is>
      </c>
      <c r="B10" s="126" t="n">
        <v>0.04</v>
      </c>
      <c r="C10" s="123" t="inlineStr">
        <is>
          <t>set from ~1-month T-bill yield</t>
        </is>
      </c>
    </row>
    <row r="11" ht="15" customHeight="1" s="64">
      <c r="A11" s="63" t="inlineStr">
        <is>
          <t>Dividend per share ($)</t>
        </is>
      </c>
      <c r="B11" s="106" t="n">
        <v>0</v>
      </c>
      <c r="C11" s="123" t="inlineStr">
        <is>
          <t>ESTIMATE — update when SPY declares (usually mid-Sep)</t>
        </is>
      </c>
    </row>
    <row r="12" ht="15" customHeight="1" s="64">
      <c r="A12" s="63" t="inlineStr">
        <is>
          <t>Ex-dividend date</t>
        </is>
      </c>
      <c r="B12" s="125" t="n"/>
    </row>
    <row r="13" ht="15" customHeight="1" s="64">
      <c r="A13" s="63" t="inlineStr">
        <is>
          <t>Contract multiplier</t>
        </is>
      </c>
      <c r="B13" s="124" t="n">
        <v>100</v>
      </c>
    </row>
    <row r="15" ht="15" customHeight="1" s="64">
      <c r="A15" s="123" t="inlineStr">
        <is>
          <t>Entry debit &amp; contract count for P&amp;L are read from the Entry tab (B13 × B9 × 100).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4" min="1" max="1"/>
    <col width="5" customWidth="1" style="64" min="2" max="2"/>
    <col width="9" customWidth="1" style="64" min="3" max="3"/>
    <col width="18" customWidth="1" style="64" min="4" max="4"/>
    <col width="5" customWidth="1" style="64" min="5" max="5"/>
    <col width="8" customWidth="1" style="64" min="6" max="6"/>
    <col width="10" customWidth="1" style="64" min="7" max="7"/>
    <col width="12" customWidth="1" style="64" min="8" max="8"/>
    <col width="16" customWidth="1" style="64" min="9" max="9"/>
    <col width="11" customWidth="1" style="64" min="10" max="10"/>
    <col width="14" customWidth="1" style="64" min="11" max="11"/>
    <col width="14" customWidth="1" style="64" min="12" max="12"/>
    <col width="12" customWidth="1" style="64" min="13" max="13"/>
    <col width="8" customWidth="1" style="64" min="14" max="14"/>
  </cols>
  <sheetData>
    <row r="1">
      <c r="A1" s="127" t="inlineStr">
        <is>
          <t>GREEK HISTORY — what each leg contributes to the position Greeks, mark by mark. Rebuilt by straddle_tool.py on every `mark`; anything typed here is lost.</t>
        </is>
      </c>
    </row>
    <row r="2">
      <c r="A2" t="inlineStr">
        <is>
          <t>Units: value $ · delta share-equivalents · gamma sh/$1 · theta $/calendar day · vega $/vol pt. The entry row is the model at the Entry-tab IVs.</t>
        </is>
      </c>
    </row>
    <row r="4">
      <c r="A4" s="127" t="inlineStr">
        <is>
          <t>Date</t>
        </is>
      </c>
      <c r="B4" s="127" t="inlineStr">
        <is>
          <t>DTE</t>
        </is>
      </c>
      <c r="C4" s="127" t="inlineStr">
        <is>
          <t>Spot</t>
        </is>
      </c>
      <c r="D4" s="127" t="inlineStr">
        <is>
          <t>Leg</t>
        </is>
      </c>
      <c r="E4" s="127" t="inlineStr">
        <is>
          <t>Qty</t>
        </is>
      </c>
      <c r="F4" s="127" t="inlineStr">
        <is>
          <t>IV</t>
        </is>
      </c>
      <c r="G4" s="127" t="inlineStr">
        <is>
          <t>Price/sh</t>
        </is>
      </c>
      <c r="H4" s="127" t="inlineStr">
        <is>
          <t>Value ($)</t>
        </is>
      </c>
      <c r="I4" s="127" t="inlineStr">
        <is>
          <t>P&amp;L vs entry ($)</t>
        </is>
      </c>
      <c r="J4" s="127" t="inlineStr">
        <is>
          <t>Delta (sh)</t>
        </is>
      </c>
      <c r="K4" s="127" t="inlineStr">
        <is>
          <t>Gamma (sh/$1)</t>
        </is>
      </c>
      <c r="L4" s="127" t="inlineStr">
        <is>
          <t>Theta ($/day)</t>
        </is>
      </c>
      <c r="M4" s="127" t="inlineStr">
        <is>
          <t>Vega ($/pt)</t>
        </is>
      </c>
      <c r="N4" s="127" t="inlineStr">
        <is>
          <t>Source</t>
        </is>
      </c>
    </row>
    <row r="5">
      <c r="A5" s="128" t="n">
        <v>46300</v>
      </c>
      <c r="B5" t="n">
        <v>25</v>
      </c>
      <c r="C5" s="129" t="n">
        <v>772.25</v>
      </c>
      <c r="D5" t="inlineStr">
        <is>
          <t>C 775 2026-10-30</t>
        </is>
      </c>
      <c r="E5" t="n">
        <v>-1</v>
      </c>
      <c r="F5" s="130" t="n">
        <v>0.1249</v>
      </c>
      <c r="G5" s="131" t="n">
        <v>9.762546896459867</v>
      </c>
      <c r="H5" s="132" t="n">
        <v>-976.2546896459867</v>
      </c>
      <c r="J5" s="133" t="n">
        <v>-49.65739065614599</v>
      </c>
      <c r="K5" s="129" t="n">
        <v>-1.58033850838703</v>
      </c>
      <c r="L5" s="129" t="n">
        <v>24.23591947193215</v>
      </c>
      <c r="M5" s="129" t="n">
        <v>-80.62607891762971</v>
      </c>
      <c r="N5" t="inlineStr">
        <is>
          <t>entry</t>
        </is>
      </c>
    </row>
    <row r="6">
      <c r="A6" s="128" t="n">
        <v>46300</v>
      </c>
      <c r="B6" t="n">
        <v>25</v>
      </c>
      <c r="C6" s="129" t="n">
        <v>772.25</v>
      </c>
      <c r="D6" t="inlineStr">
        <is>
          <t>P 775 2026-10-30</t>
        </is>
      </c>
      <c r="E6" t="n">
        <v>-1</v>
      </c>
      <c r="F6" s="130" t="n">
        <v>0.1246</v>
      </c>
      <c r="G6" s="131" t="n">
        <v>10.36797737069736</v>
      </c>
      <c r="H6" s="132" t="n">
        <v>-1036.797737069736</v>
      </c>
      <c r="J6" s="133" t="n">
        <v>50.34657011809822</v>
      </c>
      <c r="K6" s="129" t="n">
        <v>-1.584142138211861</v>
      </c>
      <c r="L6" s="129" t="n">
        <v>15.71754283969937</v>
      </c>
      <c r="M6" s="129" t="n">
        <v>-80.62600977287443</v>
      </c>
      <c r="N6" t="inlineStr">
        <is>
          <t>entry</t>
        </is>
      </c>
    </row>
    <row r="7">
      <c r="A7" s="134" t="n">
        <v>46300</v>
      </c>
      <c r="B7" s="127" t="n">
        <v>25</v>
      </c>
      <c r="C7" s="135" t="n">
        <v>772.25</v>
      </c>
      <c r="D7" s="127" t="inlineStr">
        <is>
          <t>POSITION</t>
        </is>
      </c>
      <c r="E7" s="127" t="n"/>
      <c r="F7" s="127" t="n"/>
      <c r="G7" s="127" t="n"/>
      <c r="H7" s="136" t="n">
        <v>-2013.052426715723</v>
      </c>
      <c r="I7" s="137" t="n">
        <v>-8.052426715722731</v>
      </c>
      <c r="J7" s="138" t="n">
        <v>0.6891794619522287</v>
      </c>
      <c r="K7" s="135" t="n">
        <v>-3.164480646598891</v>
      </c>
      <c r="L7" s="135" t="n">
        <v>39.95346231163153</v>
      </c>
      <c r="M7" s="135" t="n">
        <v>-161.2520886905041</v>
      </c>
      <c r="N7" s="127" t="inlineStr">
        <is>
          <t>entry</t>
        </is>
      </c>
    </row>
    <row r="9">
      <c r="A9" s="128" t="n">
        <v>46301</v>
      </c>
      <c r="B9" t="n">
        <v>24</v>
      </c>
      <c r="C9" s="129" t="n">
        <v>779.09</v>
      </c>
      <c r="D9" t="inlineStr">
        <is>
          <t>C 775 2026-10-30</t>
        </is>
      </c>
      <c r="E9" t="n">
        <v>-1</v>
      </c>
      <c r="F9" s="130" t="n">
        <v>0.1279188388595303</v>
      </c>
      <c r="G9" s="131" t="n">
        <v>13.51000000000005</v>
      </c>
      <c r="H9" s="132" t="n">
        <v>-1351.000000000005</v>
      </c>
      <c r="J9" s="133" t="n">
        <v>-60.14301867637963</v>
      </c>
      <c r="K9" s="129" t="n">
        <v>-1.510360850513427</v>
      </c>
      <c r="L9" s="129" t="n">
        <v>25.53648119188702</v>
      </c>
      <c r="M9" s="129" t="n">
        <v>-77.10967377465987</v>
      </c>
      <c r="N9" t="inlineStr">
        <is>
          <t>mids</t>
        </is>
      </c>
    </row>
    <row r="10">
      <c r="A10" s="128" t="n">
        <v>46301</v>
      </c>
      <c r="B10" t="n">
        <v>24</v>
      </c>
      <c r="C10" s="129" t="n">
        <v>779.09</v>
      </c>
      <c r="D10" t="inlineStr">
        <is>
          <t>P 775 2026-10-30</t>
        </is>
      </c>
      <c r="E10" t="n">
        <v>-1</v>
      </c>
      <c r="F10" s="130" t="n">
        <v>0.1231888814168355</v>
      </c>
      <c r="G10" s="131" t="n">
        <v>7.020000000000039</v>
      </c>
      <c r="H10" s="132" t="n">
        <v>-702.0000000000039</v>
      </c>
      <c r="J10" s="133" t="n">
        <v>39.5241192132595</v>
      </c>
      <c r="K10" s="129" t="n">
        <v>-1.56481758621978</v>
      </c>
      <c r="L10" s="129" t="n">
        <v>16.29360111631008</v>
      </c>
      <c r="M10" s="129" t="n">
        <v>-76.93586966343175</v>
      </c>
      <c r="N10" t="inlineStr">
        <is>
          <t>mids</t>
        </is>
      </c>
    </row>
    <row r="11">
      <c r="A11" s="134" t="n">
        <v>46301</v>
      </c>
      <c r="B11" s="127" t="n">
        <v>24</v>
      </c>
      <c r="C11" s="135" t="n">
        <v>779.09</v>
      </c>
      <c r="D11" s="127" t="inlineStr">
        <is>
          <t>POSITION</t>
        </is>
      </c>
      <c r="E11" s="127" t="n"/>
      <c r="F11" s="127" t="n"/>
      <c r="G11" s="127" t="n"/>
      <c r="H11" s="136" t="n">
        <v>-2053.000000000009</v>
      </c>
      <c r="I11" s="137" t="n">
        <v>-48.00000000000864</v>
      </c>
      <c r="J11" s="138" t="n">
        <v>-20.61889946312013</v>
      </c>
      <c r="K11" s="135" t="n">
        <v>-3.075178436733208</v>
      </c>
      <c r="L11" s="135" t="n">
        <v>41.83008230819709</v>
      </c>
      <c r="M11" s="135" t="n">
        <v>-154.0455434380916</v>
      </c>
      <c r="N11" s="127" t="inlineStr">
        <is>
          <t>mids</t>
        </is>
      </c>
    </row>
    <row r="13">
      <c r="A13" s="128" t="n">
        <v>46302</v>
      </c>
      <c r="B13" t="n">
        <v>23</v>
      </c>
      <c r="C13" s="129" t="n">
        <v>777.22</v>
      </c>
      <c r="D13" t="inlineStr">
        <is>
          <t>C 775 2026-10-30</t>
        </is>
      </c>
      <c r="E13" t="n">
        <v>-1</v>
      </c>
      <c r="F13" s="130" t="n">
        <v>0.1243385437957122</v>
      </c>
      <c r="G13" s="131" t="n">
        <v>11.88</v>
      </c>
      <c r="H13" s="132" t="n">
        <v>-1188</v>
      </c>
      <c r="J13" s="133" t="n">
        <v>-57.45640463717366</v>
      </c>
      <c r="K13" s="129" t="n">
        <v>-1.615725165838271</v>
      </c>
      <c r="L13" s="129" t="n">
        <v>25.4338189955166</v>
      </c>
      <c r="M13" s="129" t="n">
        <v>-76.47089499183663</v>
      </c>
      <c r="N13" t="inlineStr">
        <is>
          <t>mids</t>
        </is>
      </c>
    </row>
    <row r="14">
      <c r="A14" s="128" t="n">
        <v>46302</v>
      </c>
      <c r="B14" t="n">
        <v>23</v>
      </c>
      <c r="C14" s="129" t="n">
        <v>777.22</v>
      </c>
      <c r="D14" t="inlineStr">
        <is>
          <t>P 775 2026-10-30</t>
        </is>
      </c>
      <c r="E14" t="n">
        <v>-1</v>
      </c>
      <c r="F14" s="130" t="n">
        <v>0.1221275033195703</v>
      </c>
      <c r="G14" s="131" t="n">
        <v>7.540000000000077</v>
      </c>
      <c r="H14" s="132" t="n">
        <v>-754.0000000000077</v>
      </c>
      <c r="J14" s="133" t="n">
        <v>42.43216629400058</v>
      </c>
      <c r="K14" s="129" t="n">
        <v>-1.644090974117744</v>
      </c>
      <c r="L14" s="129" t="n">
        <v>16.59489288676254</v>
      </c>
      <c r="M14" s="129" t="n">
        <v>-76.42971335678813</v>
      </c>
      <c r="N14" t="inlineStr">
        <is>
          <t>mids</t>
        </is>
      </c>
    </row>
    <row r="15">
      <c r="A15" s="134" t="n">
        <v>46302</v>
      </c>
      <c r="B15" s="127" t="n">
        <v>23</v>
      </c>
      <c r="C15" s="135" t="n">
        <v>777.22</v>
      </c>
      <c r="D15" s="127" t="inlineStr">
        <is>
          <t>POSITION</t>
        </is>
      </c>
      <c r="E15" s="127" t="n"/>
      <c r="F15" s="127" t="n"/>
      <c r="G15" s="127" t="n"/>
      <c r="H15" s="136" t="n">
        <v>-1942.000000000007</v>
      </c>
      <c r="I15" s="137" t="n">
        <v>62.99999999999272</v>
      </c>
      <c r="J15" s="138" t="n">
        <v>-15.02423834317307</v>
      </c>
      <c r="K15" s="135" t="n">
        <v>-3.259816139956015</v>
      </c>
      <c r="L15" s="135" t="n">
        <v>42.02871188227914</v>
      </c>
      <c r="M15" s="135" t="n">
        <v>-152.9006083486248</v>
      </c>
      <c r="N15" s="127" t="inlineStr">
        <is>
          <t>mids</t>
        </is>
      </c>
    </row>
    <row r="17">
      <c r="A17" s="128" t="n">
        <v>46303</v>
      </c>
      <c r="B17" t="n">
        <v>22</v>
      </c>
      <c r="C17" s="129" t="n">
        <v>773.9299999999999</v>
      </c>
      <c r="D17" t="inlineStr">
        <is>
          <t>C 775 2026-10-30</t>
        </is>
      </c>
      <c r="E17" t="n">
        <v>-1</v>
      </c>
      <c r="F17" s="130" t="n">
        <v>0.12389890627362</v>
      </c>
      <c r="G17" s="131" t="n">
        <v>9.790000000000077</v>
      </c>
      <c r="H17" s="132" t="n">
        <v>-979.0000000000077</v>
      </c>
      <c r="J17" s="133" t="n">
        <v>-51.95600391951518</v>
      </c>
      <c r="K17" s="129" t="n">
        <v>-1.69259705504311</v>
      </c>
      <c r="L17" s="129" t="n">
        <v>25.61842963759476</v>
      </c>
      <c r="M17" s="129" t="n">
        <v>-75.71017205808648</v>
      </c>
      <c r="N17" t="inlineStr">
        <is>
          <t>mids</t>
        </is>
      </c>
    </row>
    <row r="18">
      <c r="A18" s="128" t="n">
        <v>46303</v>
      </c>
      <c r="B18" t="n">
        <v>22</v>
      </c>
      <c r="C18" s="129" t="n">
        <v>773.9299999999999</v>
      </c>
      <c r="D18" t="inlineStr">
        <is>
          <t>P 775 2026-10-30</t>
        </is>
      </c>
      <c r="E18" t="n">
        <v>-1</v>
      </c>
      <c r="F18" s="130" t="n">
        <v>0.117905416000403</v>
      </c>
      <c r="G18" s="131" t="n">
        <v>8.539999999999964</v>
      </c>
      <c r="H18" s="132" t="n">
        <v>-853.9999999999964</v>
      </c>
      <c r="J18" s="133" t="n">
        <v>48.00476902345918</v>
      </c>
      <c r="K18" s="129" t="n">
        <v>-1.778550155051667</v>
      </c>
      <c r="L18" s="129" t="n">
        <v>16.12174983300784</v>
      </c>
      <c r="M18" s="129" t="n">
        <v>-75.70647953902525</v>
      </c>
      <c r="N18" t="inlineStr">
        <is>
          <t>mids</t>
        </is>
      </c>
    </row>
    <row r="19">
      <c r="A19" s="134" t="n">
        <v>46303</v>
      </c>
      <c r="B19" s="127" t="n">
        <v>22</v>
      </c>
      <c r="C19" s="135" t="n">
        <v>773.9299999999999</v>
      </c>
      <c r="D19" s="127" t="inlineStr">
        <is>
          <t>POSITION</t>
        </is>
      </c>
      <c r="E19" s="127" t="n"/>
      <c r="F19" s="127" t="n"/>
      <c r="G19" s="127" t="n"/>
      <c r="H19" s="136" t="n">
        <v>-1833.000000000004</v>
      </c>
      <c r="I19" s="137" t="n">
        <v>171.9999999999959</v>
      </c>
      <c r="J19" s="138" t="n">
        <v>-3.951234896056</v>
      </c>
      <c r="K19" s="135" t="n">
        <v>-3.471147210094777</v>
      </c>
      <c r="L19" s="135" t="n">
        <v>41.7401794706026</v>
      </c>
      <c r="M19" s="135" t="n">
        <v>-151.4166515971118</v>
      </c>
      <c r="N19" s="127" t="inlineStr">
        <is>
          <t>mids</t>
        </is>
      </c>
    </row>
    <row r="21">
      <c r="A21" s="128" t="n">
        <v>46304</v>
      </c>
      <c r="B21" t="n">
        <v>21</v>
      </c>
      <c r="C21" s="129" t="n">
        <v>778.5700000000001</v>
      </c>
      <c r="D21" t="inlineStr">
        <is>
          <t>C 775 2026-10-30</t>
        </is>
      </c>
      <c r="E21" t="n">
        <v>-1</v>
      </c>
      <c r="F21" s="130" t="n">
        <v>0.1161207231483956</v>
      </c>
      <c r="G21" s="131" t="n">
        <v>11.56</v>
      </c>
      <c r="H21" s="132" t="n">
        <v>-1156</v>
      </c>
      <c r="J21" s="133" t="n">
        <v>-60.31681879787706</v>
      </c>
      <c r="K21" s="129" t="n">
        <v>-1.777804718741705</v>
      </c>
      <c r="L21" s="129" t="n">
        <v>24.9253441190155</v>
      </c>
      <c r="M21" s="129" t="n">
        <v>-71.99719014279788</v>
      </c>
      <c r="N21" t="inlineStr">
        <is>
          <t>mids</t>
        </is>
      </c>
    </row>
    <row r="22">
      <c r="A22" s="128" t="n">
        <v>46304</v>
      </c>
      <c r="B22" t="n">
        <v>21</v>
      </c>
      <c r="C22" s="129" t="n">
        <v>778.5700000000001</v>
      </c>
      <c r="D22" t="inlineStr">
        <is>
          <t>P 775 2026-10-30</t>
        </is>
      </c>
      <c r="E22" t="n">
        <v>-1</v>
      </c>
      <c r="F22" s="130" t="n">
        <v>0.117807701909176</v>
      </c>
      <c r="G22" s="131" t="n">
        <v>6.330000000000041</v>
      </c>
      <c r="H22" s="132" t="n">
        <v>-633.0000000000041</v>
      </c>
      <c r="J22" s="133" t="n">
        <v>39.81214508286518</v>
      </c>
      <c r="K22" s="129" t="n">
        <v>-1.753870368176936</v>
      </c>
      <c r="L22" s="129" t="n">
        <v>16.74612304014574</v>
      </c>
      <c r="M22" s="129" t="n">
        <v>-72.05978068279933</v>
      </c>
      <c r="N22" t="inlineStr">
        <is>
          <t>mids</t>
        </is>
      </c>
    </row>
    <row r="23">
      <c r="A23" s="134" t="n">
        <v>46304</v>
      </c>
      <c r="B23" s="127" t="n">
        <v>21</v>
      </c>
      <c r="C23" s="135" t="n">
        <v>778.5700000000001</v>
      </c>
      <c r="D23" s="127" t="inlineStr">
        <is>
          <t>POSITION</t>
        </is>
      </c>
      <c r="E23" s="127" t="n"/>
      <c r="F23" s="127" t="n"/>
      <c r="G23" s="127" t="n"/>
      <c r="H23" s="136" t="n">
        <v>-1789.000000000004</v>
      </c>
      <c r="I23" s="137" t="n">
        <v>215.9999999999957</v>
      </c>
      <c r="J23" s="138" t="n">
        <v>-20.50467371501188</v>
      </c>
      <c r="K23" s="135" t="n">
        <v>-3.53167508691864</v>
      </c>
      <c r="L23" s="135" t="n">
        <v>41.67146715916123</v>
      </c>
      <c r="M23" s="135" t="n">
        <v>-144.0569708255972</v>
      </c>
      <c r="N23" s="127" t="inlineStr">
        <is>
          <t>mids</t>
        </is>
      </c>
    </row>
    <row r="25">
      <c r="A25" s="128" t="n">
        <v>46307</v>
      </c>
      <c r="B25" t="n">
        <v>18</v>
      </c>
      <c r="C25" s="129" t="n">
        <v>778.1</v>
      </c>
      <c r="D25" t="inlineStr">
        <is>
          <t>C 775 2026-10-30</t>
        </is>
      </c>
      <c r="E25" t="n">
        <v>-1</v>
      </c>
      <c r="F25" s="130" t="n">
        <v>0.1187072415202384</v>
      </c>
      <c r="G25" s="131" t="n">
        <v>10.68000000000006</v>
      </c>
      <c r="H25" s="132" t="n">
        <v>-1068.000000000006</v>
      </c>
      <c r="J25" s="133" t="n">
        <v>-59.46197137633498</v>
      </c>
      <c r="K25" s="129" t="n">
        <v>-1.889982232881247</v>
      </c>
      <c r="L25" s="129" t="n">
        <v>27.04154394625822</v>
      </c>
      <c r="M25" s="129" t="n">
        <v>-66.98620989136087</v>
      </c>
      <c r="N25" t="inlineStr">
        <is>
          <t>mids</t>
        </is>
      </c>
    </row>
    <row r="26">
      <c r="A26" s="128" t="n">
        <v>46307</v>
      </c>
      <c r="B26" t="n">
        <v>18</v>
      </c>
      <c r="C26" s="129" t="n">
        <v>778.1</v>
      </c>
      <c r="D26" t="inlineStr">
        <is>
          <t>P 775 2026-10-30</t>
        </is>
      </c>
      <c r="E26" t="n">
        <v>-1</v>
      </c>
      <c r="F26" s="130" t="n">
        <v>0.1179197854689279</v>
      </c>
      <c r="G26" s="131" t="n">
        <v>6</v>
      </c>
      <c r="H26" s="132" t="n">
        <v>-600</v>
      </c>
      <c r="J26" s="133" t="n">
        <v>40.48285215022845</v>
      </c>
      <c r="K26" s="129" t="n">
        <v>-1.901953003112689</v>
      </c>
      <c r="L26" s="129" t="n">
        <v>18.41638919503091</v>
      </c>
      <c r="M26" s="129" t="n">
        <v>-66.96331314074654</v>
      </c>
      <c r="N26" t="inlineStr">
        <is>
          <t>mids</t>
        </is>
      </c>
    </row>
    <row r="27">
      <c r="A27" s="134" t="n">
        <v>46307</v>
      </c>
      <c r="B27" s="127" t="n">
        <v>18</v>
      </c>
      <c r="C27" s="135" t="n">
        <v>778.1</v>
      </c>
      <c r="D27" s="127" t="inlineStr">
        <is>
          <t>POSITION</t>
        </is>
      </c>
      <c r="E27" s="127" t="n"/>
      <c r="F27" s="127" t="n"/>
      <c r="G27" s="127" t="n"/>
      <c r="H27" s="136" t="n">
        <v>-1668.000000000006</v>
      </c>
      <c r="I27" s="137" t="n">
        <v>336.9999999999936</v>
      </c>
      <c r="J27" s="138" t="n">
        <v>-18.97911922610653</v>
      </c>
      <c r="K27" s="135" t="n">
        <v>-3.791935235993936</v>
      </c>
      <c r="L27" s="135" t="n">
        <v>45.45793314128913</v>
      </c>
      <c r="M27" s="135" t="n">
        <v>-133.9495230321074</v>
      </c>
      <c r="N27" s="127" t="inlineStr">
        <is>
          <t>mids</t>
        </is>
      </c>
    </row>
    <row r="29">
      <c r="A29" s="128" t="n">
        <v>46308</v>
      </c>
      <c r="B29" t="n">
        <v>17</v>
      </c>
      <c r="C29" s="129" t="n">
        <v>778.01</v>
      </c>
      <c r="D29" t="inlineStr">
        <is>
          <t>C 775 2026-10-30</t>
        </is>
      </c>
      <c r="E29" t="n">
        <v>-1</v>
      </c>
      <c r="F29" s="130" t="n">
        <v>0.1218844269741938</v>
      </c>
      <c r="G29" s="131" t="n">
        <v>10.56</v>
      </c>
      <c r="H29" s="132" t="n">
        <v>-1056</v>
      </c>
      <c r="J29" s="133" t="n">
        <v>-59.14759841275792</v>
      </c>
      <c r="K29" s="129" t="n">
        <v>-1.897915917188399</v>
      </c>
      <c r="L29" s="129" t="n">
        <v>28.30600873634138</v>
      </c>
      <c r="M29" s="129" t="n">
        <v>-65.21561635867721</v>
      </c>
      <c r="N29" t="inlineStr">
        <is>
          <t>mids</t>
        </is>
      </c>
    </row>
    <row r="30">
      <c r="A30" s="128" t="n">
        <v>46308</v>
      </c>
      <c r="B30" t="n">
        <v>17</v>
      </c>
      <c r="C30" s="129" t="n">
        <v>778.01</v>
      </c>
      <c r="D30" t="inlineStr">
        <is>
          <t>P 775 2026-10-30</t>
        </is>
      </c>
      <c r="E30" t="n">
        <v>-1</v>
      </c>
      <c r="F30" s="130" t="n">
        <v>0.1177791260085666</v>
      </c>
      <c r="G30" s="131" t="n">
        <v>5.840000000000032</v>
      </c>
      <c r="H30" s="132" t="n">
        <v>-584.0000000000032</v>
      </c>
      <c r="J30" s="133" t="n">
        <v>40.5744458477846</v>
      </c>
      <c r="K30" s="129" t="n">
        <v>-1.960767590378456</v>
      </c>
      <c r="L30" s="129" t="n">
        <v>19.02987628918066</v>
      </c>
      <c r="M30" s="129" t="n">
        <v>-65.10597728042836</v>
      </c>
      <c r="N30" t="inlineStr">
        <is>
          <t>mids</t>
        </is>
      </c>
    </row>
    <row r="31">
      <c r="A31" s="134" t="n">
        <v>46308</v>
      </c>
      <c r="B31" s="127" t="n">
        <v>17</v>
      </c>
      <c r="C31" s="135" t="n">
        <v>778.01</v>
      </c>
      <c r="D31" s="127" t="inlineStr">
        <is>
          <t>POSITION</t>
        </is>
      </c>
      <c r="E31" s="127" t="n"/>
      <c r="F31" s="127" t="n"/>
      <c r="G31" s="127" t="n"/>
      <c r="H31" s="136" t="n">
        <v>-1640.000000000003</v>
      </c>
      <c r="I31" s="137" t="n">
        <v>364.9999999999966</v>
      </c>
      <c r="J31" s="138" t="n">
        <v>-18.57315256497331</v>
      </c>
      <c r="K31" s="135" t="n">
        <v>-3.858683507566854</v>
      </c>
      <c r="L31" s="135" t="n">
        <v>47.33588502552205</v>
      </c>
      <c r="M31" s="135" t="n">
        <v>-130.3215936391056</v>
      </c>
      <c r="N31" s="127" t="inlineStr">
        <is>
          <t>mids</t>
        </is>
      </c>
    </row>
    <row r="33">
      <c r="A33" s="128" t="n">
        <v>46309</v>
      </c>
      <c r="B33" t="n">
        <v>16</v>
      </c>
      <c r="C33" s="129" t="n">
        <v>769.67</v>
      </c>
      <c r="D33" t="inlineStr">
        <is>
          <t>C 775 2026-10-30</t>
        </is>
      </c>
      <c r="E33" t="n">
        <v>-1</v>
      </c>
      <c r="F33" s="130" t="n">
        <v>0.1201606952501205</v>
      </c>
      <c r="G33" s="131" t="n">
        <v>5.920000000000016</v>
      </c>
      <c r="H33" s="132" t="n">
        <v>-592.0000000000016</v>
      </c>
      <c r="J33" s="133" t="n">
        <v>-42.38562170483469</v>
      </c>
      <c r="K33" s="129" t="n">
        <v>-2.02265321788561</v>
      </c>
      <c r="L33" s="129" t="n">
        <v>27.20937831771212</v>
      </c>
      <c r="M33" s="129" t="n">
        <v>-63.11318517896004</v>
      </c>
      <c r="N33" t="inlineStr">
        <is>
          <t>mids</t>
        </is>
      </c>
    </row>
    <row r="34">
      <c r="A34" s="128" t="n">
        <v>46309</v>
      </c>
      <c r="B34" t="n">
        <v>16</v>
      </c>
      <c r="C34" s="129" t="n">
        <v>769.67</v>
      </c>
      <c r="D34" t="inlineStr">
        <is>
          <t>P 775 2026-10-30</t>
        </is>
      </c>
      <c r="E34" t="n">
        <v>-1</v>
      </c>
      <c r="F34" s="130" t="n">
        <v>0.1266138689550786</v>
      </c>
      <c r="G34" s="131" t="n">
        <v>10.29999999999995</v>
      </c>
      <c r="H34" s="132" t="n">
        <v>-1029.999999999995</v>
      </c>
      <c r="J34" s="133" t="n">
        <v>57.17901803234484</v>
      </c>
      <c r="K34" s="129" t="n">
        <v>-1.923543092456398</v>
      </c>
      <c r="L34" s="129" t="n">
        <v>20.08787658457858</v>
      </c>
      <c r="M34" s="129" t="n">
        <v>-63.24401546806737</v>
      </c>
      <c r="N34" t="inlineStr">
        <is>
          <t>mids</t>
        </is>
      </c>
    </row>
    <row r="35">
      <c r="A35" s="134" t="n">
        <v>46309</v>
      </c>
      <c r="B35" s="127" t="n">
        <v>16</v>
      </c>
      <c r="C35" s="135" t="n">
        <v>769.67</v>
      </c>
      <c r="D35" s="127" t="inlineStr">
        <is>
          <t>POSITION</t>
        </is>
      </c>
      <c r="E35" s="127" t="n"/>
      <c r="F35" s="127" t="n"/>
      <c r="G35" s="127" t="n"/>
      <c r="H35" s="136" t="n">
        <v>-1621.999999999997</v>
      </c>
      <c r="I35" s="137" t="n">
        <v>383.000000000003</v>
      </c>
      <c r="J35" s="138" t="n">
        <v>14.79339632751015</v>
      </c>
      <c r="K35" s="135" t="n">
        <v>-3.946196310342008</v>
      </c>
      <c r="L35" s="135" t="n">
        <v>47.2972549022907</v>
      </c>
      <c r="M35" s="135" t="n">
        <v>-126.3572006470274</v>
      </c>
      <c r="N35" s="127" t="inlineStr">
        <is>
          <t>mids</t>
        </is>
      </c>
    </row>
    <row r="37">
      <c r="A37" s="128" t="n">
        <v>46310</v>
      </c>
      <c r="B37" t="n">
        <v>15</v>
      </c>
      <c r="C37" s="129" t="n">
        <v>773.09</v>
      </c>
      <c r="D37" t="inlineStr">
        <is>
          <t>C 775 2026-10-30</t>
        </is>
      </c>
      <c r="E37" t="n">
        <v>-1</v>
      </c>
      <c r="F37" s="130" t="n">
        <v>0.1094181007310752</v>
      </c>
      <c r="G37" s="131" t="n">
        <v>6.53000000000003</v>
      </c>
      <c r="H37" s="132" t="n">
        <v>-653.000000000003</v>
      </c>
      <c r="J37" s="133" t="n">
        <v>-48.96106859632786</v>
      </c>
      <c r="K37" s="129" t="n">
        <v>-2.325649912867182</v>
      </c>
      <c r="L37" s="129" t="n">
        <v>26.87259493713361</v>
      </c>
      <c r="M37" s="129" t="n">
        <v>-62.50172700470657</v>
      </c>
      <c r="N37" t="inlineStr">
        <is>
          <t>mids</t>
        </is>
      </c>
    </row>
    <row r="38">
      <c r="A38" s="128" t="n">
        <v>46310</v>
      </c>
      <c r="B38" t="n">
        <v>15</v>
      </c>
      <c r="C38" s="129" t="n">
        <v>773.09</v>
      </c>
      <c r="D38" t="inlineStr">
        <is>
          <t>P 775 2026-10-30</t>
        </is>
      </c>
      <c r="E38" t="n">
        <v>-1</v>
      </c>
      <c r="F38" s="130" t="n">
        <v>0.1291425272921843</v>
      </c>
      <c r="G38" s="131" t="n">
        <v>8.399999999999977</v>
      </c>
      <c r="H38" s="132" t="n">
        <v>-839.9999999999977</v>
      </c>
      <c r="J38" s="133" t="n">
        <v>50.73297231223049</v>
      </c>
      <c r="K38" s="129" t="n">
        <v>-1.970780345845945</v>
      </c>
      <c r="L38" s="129" t="n">
        <v>22.51975756083388</v>
      </c>
      <c r="M38" s="129" t="n">
        <v>-62.51237651014503</v>
      </c>
      <c r="N38" t="inlineStr">
        <is>
          <t>mids</t>
        </is>
      </c>
    </row>
    <row r="39">
      <c r="A39" s="134" t="n">
        <v>46310</v>
      </c>
      <c r="B39" s="127" t="n">
        <v>15</v>
      </c>
      <c r="C39" s="135" t="n">
        <v>773.09</v>
      </c>
      <c r="D39" s="127" t="inlineStr">
        <is>
          <t>POSITION</t>
        </is>
      </c>
      <c r="E39" s="127" t="n"/>
      <c r="F39" s="127" t="n"/>
      <c r="G39" s="127" t="n"/>
      <c r="H39" s="136" t="n">
        <v>-1493.000000000001</v>
      </c>
      <c r="I39" s="137" t="n">
        <v>511.9999999999993</v>
      </c>
      <c r="J39" s="138" t="n">
        <v>1.771903715902631</v>
      </c>
      <c r="K39" s="135" t="n">
        <v>-4.296430258713126</v>
      </c>
      <c r="L39" s="135" t="n">
        <v>49.39235249796749</v>
      </c>
      <c r="M39" s="135" t="n">
        <v>-125.0141035148516</v>
      </c>
      <c r="N39" s="127" t="inlineStr">
        <is>
          <t>mids</t>
        </is>
      </c>
    </row>
    <row r="41">
      <c r="A41" s="128" t="n">
        <v>46311</v>
      </c>
      <c r="B41" t="n">
        <v>14</v>
      </c>
      <c r="C41" s="129" t="n">
        <v>763.23</v>
      </c>
      <c r="D41" t="inlineStr">
        <is>
          <t>C 775 2026-10-30</t>
        </is>
      </c>
      <c r="E41" t="n">
        <v>-1</v>
      </c>
      <c r="F41" s="130" t="n">
        <v>0.1220348254676771</v>
      </c>
      <c r="G41" s="131" t="n">
        <v>3.219999999999999</v>
      </c>
      <c r="H41" s="132" t="n">
        <v>-321.9999999999999</v>
      </c>
      <c r="J41" s="133" t="n">
        <v>-28.63195775318978</v>
      </c>
      <c r="K41" s="129" t="n">
        <v>-1.86525496436874</v>
      </c>
      <c r="L41" s="129" t="n">
        <v>24.52586552648741</v>
      </c>
      <c r="M41" s="129" t="n">
        <v>-50.85902444664986</v>
      </c>
      <c r="N41" t="inlineStr">
        <is>
          <t>mids</t>
        </is>
      </c>
    </row>
    <row r="42">
      <c r="A42" s="128" t="n">
        <v>46311</v>
      </c>
      <c r="B42" t="n">
        <v>14</v>
      </c>
      <c r="C42" s="129" t="n">
        <v>763.23</v>
      </c>
      <c r="D42" t="inlineStr">
        <is>
          <t>P 775 2026-10-30</t>
        </is>
      </c>
      <c r="E42" t="n">
        <v>-1</v>
      </c>
      <c r="F42" s="130" t="n">
        <v>0.1351548474227087</v>
      </c>
      <c r="G42" s="131" t="n">
        <v>14.48000000000025</v>
      </c>
      <c r="H42" s="132" t="n">
        <v>-1448.000000000025</v>
      </c>
      <c r="J42" s="133" t="n">
        <v>69.39078595852096</v>
      </c>
      <c r="K42" s="129" t="n">
        <v>-1.736589556481912</v>
      </c>
      <c r="L42" s="129" t="n">
        <v>19.35063684699411</v>
      </c>
      <c r="M42" s="129" t="n">
        <v>-52.44146892567838</v>
      </c>
      <c r="N42" t="inlineStr">
        <is>
          <t>mids</t>
        </is>
      </c>
    </row>
    <row r="43">
      <c r="A43" s="134" t="n">
        <v>46311</v>
      </c>
      <c r="B43" s="127" t="n">
        <v>14</v>
      </c>
      <c r="C43" s="135" t="n">
        <v>763.23</v>
      </c>
      <c r="D43" s="127" t="inlineStr">
        <is>
          <t>POSITION</t>
        </is>
      </c>
      <c r="E43" s="127" t="n"/>
      <c r="F43" s="127" t="n"/>
      <c r="G43" s="127" t="n"/>
      <c r="H43" s="136" t="n">
        <v>-1770.000000000025</v>
      </c>
      <c r="I43" s="137" t="n">
        <v>234.9999999999754</v>
      </c>
      <c r="J43" s="138" t="n">
        <v>40.75882820533118</v>
      </c>
      <c r="K43" s="135" t="n">
        <v>-3.601844520850652</v>
      </c>
      <c r="L43" s="135" t="n">
        <v>43.87650237348152</v>
      </c>
      <c r="M43" s="135" t="n">
        <v>-103.3004933723282</v>
      </c>
      <c r="N43" s="127" t="inlineStr">
        <is>
          <t>mids</t>
        </is>
      </c>
    </row>
    <row r="45">
      <c r="A45" s="128" t="n">
        <v>46314</v>
      </c>
      <c r="B45" t="n">
        <v>11</v>
      </c>
      <c r="C45" s="129" t="n">
        <v>766.48</v>
      </c>
      <c r="D45" t="inlineStr">
        <is>
          <t>C 775 2026-10-30</t>
        </is>
      </c>
      <c r="E45" t="n">
        <v>-1</v>
      </c>
      <c r="F45" s="130" t="n">
        <v>0.1330493332923293</v>
      </c>
      <c r="G45" s="131" t="n">
        <v>3.939999999999998</v>
      </c>
      <c r="H45" s="132" t="n">
        <v>-393.9999999999998</v>
      </c>
      <c r="J45" s="133" t="n">
        <v>-33.91218244148533</v>
      </c>
      <c r="K45" s="129" t="n">
        <v>-2.067633152800358</v>
      </c>
      <c r="L45" s="129" t="n">
        <v>32.2616364808846</v>
      </c>
      <c r="M45" s="129" t="n">
        <v>-48.70658322124347</v>
      </c>
      <c r="N45" t="inlineStr">
        <is>
          <t>mids</t>
        </is>
      </c>
    </row>
    <row r="46">
      <c r="A46" s="128" t="n">
        <v>46314</v>
      </c>
      <c r="B46" t="n">
        <v>11</v>
      </c>
      <c r="C46" s="129" t="n">
        <v>766.48</v>
      </c>
      <c r="D46" t="inlineStr">
        <is>
          <t>P 775 2026-10-30</t>
        </is>
      </c>
      <c r="E46" t="n">
        <v>-1</v>
      </c>
      <c r="F46" s="130" t="n">
        <v>0.1234072284971117</v>
      </c>
      <c r="G46" s="131" t="n">
        <v>11.06000000000006</v>
      </c>
      <c r="H46" s="132" t="n">
        <v>-1106.000000000006</v>
      </c>
      <c r="J46" s="133" t="n">
        <v>67.32893554998223</v>
      </c>
      <c r="K46" s="129" t="n">
        <v>-2.19653853069074</v>
      </c>
      <c r="L46" s="129" t="n">
        <v>21.14478447260215</v>
      </c>
      <c r="M46" s="129" t="n">
        <v>-47.99333171229011</v>
      </c>
      <c r="N46" t="inlineStr">
        <is>
          <t>mids</t>
        </is>
      </c>
    </row>
    <row r="47">
      <c r="A47" s="134" t="n">
        <v>46314</v>
      </c>
      <c r="B47" s="127" t="n">
        <v>11</v>
      </c>
      <c r="C47" s="135" t="n">
        <v>766.48</v>
      </c>
      <c r="D47" s="127" t="inlineStr">
        <is>
          <t>POSITION</t>
        </is>
      </c>
      <c r="E47" s="127" t="n"/>
      <c r="F47" s="127" t="n"/>
      <c r="G47" s="127" t="n"/>
      <c r="H47" s="136" t="n">
        <v>-1500.000000000006</v>
      </c>
      <c r="I47" s="137" t="n">
        <v>504.9999999999943</v>
      </c>
      <c r="J47" s="138" t="n">
        <v>33.41675310849691</v>
      </c>
      <c r="K47" s="135" t="n">
        <v>-4.264171683491098</v>
      </c>
      <c r="L47" s="135" t="n">
        <v>53.40642095348674</v>
      </c>
      <c r="M47" s="135" t="n">
        <v>-96.69991493353358</v>
      </c>
      <c r="N47" s="127" t="inlineStr">
        <is>
          <t>mids</t>
        </is>
      </c>
    </row>
    <row r="49">
      <c r="A49" s="128" t="n">
        <v>46315</v>
      </c>
      <c r="B49" t="n">
        <v>10</v>
      </c>
      <c r="C49" s="129" t="n">
        <v>769.05</v>
      </c>
      <c r="D49" t="inlineStr">
        <is>
          <t>C 775 2026-10-30</t>
        </is>
      </c>
      <c r="E49" t="n">
        <v>-1</v>
      </c>
      <c r="F49" s="130" t="n">
        <v>0.136504920895029</v>
      </c>
      <c r="G49" s="131" t="n">
        <v>4.699999999999989</v>
      </c>
      <c r="H49" s="132" t="n">
        <v>-469.9999999999989</v>
      </c>
      <c r="J49" s="133" t="n">
        <v>-38.92388471078657</v>
      </c>
      <c r="K49" s="129" t="n">
        <v>-2.206837744779268</v>
      </c>
      <c r="L49" s="129" t="n">
        <v>36.54501196481048</v>
      </c>
      <c r="M49" s="129" t="n">
        <v>-48.81294376849049</v>
      </c>
      <c r="N49" t="inlineStr">
        <is>
          <t>mids</t>
        </is>
      </c>
    </row>
    <row r="50">
      <c r="A50" s="128" t="n">
        <v>46315</v>
      </c>
      <c r="B50" t="n">
        <v>10</v>
      </c>
      <c r="C50" s="129" t="n">
        <v>769.05</v>
      </c>
      <c r="D50" t="inlineStr">
        <is>
          <t>P 775 2026-10-30</t>
        </is>
      </c>
      <c r="E50" t="n">
        <v>-1</v>
      </c>
      <c r="F50" s="130" t="n">
        <v>0.1204103776065479</v>
      </c>
      <c r="G50" s="131" t="n">
        <v>9.020000000000039</v>
      </c>
      <c r="H50" s="132" t="n">
        <v>-902.0000000000039</v>
      </c>
      <c r="J50" s="133" t="n">
        <v>62.61772862529354</v>
      </c>
      <c r="K50" s="129" t="n">
        <v>-2.47149007234046</v>
      </c>
      <c r="L50" s="129" t="n">
        <v>23.65549841946422</v>
      </c>
      <c r="M50" s="129" t="n">
        <v>-48.22131807750353</v>
      </c>
      <c r="N50" t="inlineStr">
        <is>
          <t>mids</t>
        </is>
      </c>
    </row>
    <row r="51">
      <c r="A51" s="134" t="n">
        <v>46315</v>
      </c>
      <c r="B51" s="127" t="n">
        <v>10</v>
      </c>
      <c r="C51" s="135" t="n">
        <v>769.05</v>
      </c>
      <c r="D51" s="127" t="inlineStr">
        <is>
          <t>POSITION</t>
        </is>
      </c>
      <c r="E51" s="127" t="n"/>
      <c r="F51" s="127" t="n"/>
      <c r="G51" s="127" t="n"/>
      <c r="H51" s="136" t="n">
        <v>-1372.000000000003</v>
      </c>
      <c r="I51" s="137" t="n">
        <v>632.9999999999973</v>
      </c>
      <c r="J51" s="138" t="n">
        <v>23.69384391450698</v>
      </c>
      <c r="K51" s="135" t="n">
        <v>-4.678327817119728</v>
      </c>
      <c r="L51" s="135" t="n">
        <v>60.20051038427471</v>
      </c>
      <c r="M51" s="135" t="n">
        <v>-97.03426184599402</v>
      </c>
      <c r="N51" s="127" t="inlineStr">
        <is>
          <t>mids</t>
        </is>
      </c>
    </row>
    <row r="53">
      <c r="A53" s="128" t="n">
        <v>46317</v>
      </c>
      <c r="B53" t="n">
        <v>8</v>
      </c>
      <c r="C53" s="129" t="n">
        <v>763.96</v>
      </c>
      <c r="D53" t="inlineStr">
        <is>
          <t>C 775 2026-10-30</t>
        </is>
      </c>
      <c r="E53" t="n">
        <v>-1</v>
      </c>
      <c r="F53" s="130" t="n">
        <v>0.1470784322591944</v>
      </c>
      <c r="G53" s="131" t="n">
        <v>2.740000000000009</v>
      </c>
      <c r="H53" s="132" t="n">
        <v>-274.0000000000009</v>
      </c>
      <c r="J53" s="133" t="n">
        <v>-27.16707289163235</v>
      </c>
      <c r="K53" s="129" t="n">
        <v>-1.993800330502558</v>
      </c>
      <c r="L53" s="129" t="n">
        <v>36.72688765199484</v>
      </c>
      <c r="M53" s="129" t="n">
        <v>-37.51189622450987</v>
      </c>
      <c r="N53" t="inlineStr">
        <is>
          <t>mids</t>
        </is>
      </c>
    </row>
    <row r="54">
      <c r="A54" s="128" t="n">
        <v>46317</v>
      </c>
      <c r="B54" t="n">
        <v>8</v>
      </c>
      <c r="C54" s="129" t="n">
        <v>763.96</v>
      </c>
      <c r="D54" t="inlineStr">
        <is>
          <t>P 775 2026-10-30</t>
        </is>
      </c>
      <c r="E54" t="n">
        <v>-1</v>
      </c>
      <c r="F54" s="130" t="n">
        <v>0.1416851619572905</v>
      </c>
      <c r="G54" s="131" t="n">
        <v>12.90000000000009</v>
      </c>
      <c r="H54" s="132" t="n">
        <v>-1290.000000000009</v>
      </c>
      <c r="J54" s="133" t="n">
        <v>73.62138582001909</v>
      </c>
      <c r="K54" s="129" t="n">
        <v>-2.039203408749805</v>
      </c>
      <c r="L54" s="129" t="n">
        <v>26.42354493114662</v>
      </c>
      <c r="M54" s="129" t="n">
        <v>-36.95926126275286</v>
      </c>
      <c r="N54" t="inlineStr">
        <is>
          <t>mids</t>
        </is>
      </c>
    </row>
    <row r="55">
      <c r="A55" s="134" t="n">
        <v>46317</v>
      </c>
      <c r="B55" s="127" t="n">
        <v>8</v>
      </c>
      <c r="C55" s="135" t="n">
        <v>763.96</v>
      </c>
      <c r="D55" s="127" t="inlineStr">
        <is>
          <t>POSITION</t>
        </is>
      </c>
      <c r="E55" s="127" t="n"/>
      <c r="F55" s="127" t="n"/>
      <c r="G55" s="127" t="n"/>
      <c r="H55" s="136" t="n">
        <v>-1564.00000000001</v>
      </c>
      <c r="I55" s="137" t="n">
        <v>440.99999999999</v>
      </c>
      <c r="J55" s="138" t="n">
        <v>46.45431292838674</v>
      </c>
      <c r="K55" s="135" t="n">
        <v>-4.033003739252363</v>
      </c>
      <c r="L55" s="135" t="n">
        <v>63.15043258314145</v>
      </c>
      <c r="M55" s="135" t="n">
        <v>-74.47115748726273</v>
      </c>
      <c r="N55" s="127" t="inlineStr">
        <is>
          <t>mids</t>
        </is>
      </c>
    </row>
    <row r="57">
      <c r="A57" s="128" t="n">
        <v>46318</v>
      </c>
      <c r="B57" t="n">
        <v>7</v>
      </c>
      <c r="C57" s="129" t="n">
        <v>759.97</v>
      </c>
      <c r="D57" t="inlineStr">
        <is>
          <t>C 775 2026-10-30</t>
        </is>
      </c>
      <c r="E57" t="n">
        <v>-1</v>
      </c>
      <c r="F57" s="130" t="n">
        <v>0.1422422832714878</v>
      </c>
      <c r="G57" s="131" t="n">
        <v>1.370000000000005</v>
      </c>
      <c r="H57" s="132" t="n">
        <v>-137.0000000000005</v>
      </c>
      <c r="J57" s="133" t="n">
        <v>-17.22266897236685</v>
      </c>
      <c r="K57" s="129" t="n">
        <v>-1.704508366242056</v>
      </c>
      <c r="L57" s="129" t="n">
        <v>28.70453193344644</v>
      </c>
      <c r="M57" s="129" t="n">
        <v>-26.85504752190266</v>
      </c>
      <c r="N57" t="inlineStr">
        <is>
          <t>mids</t>
        </is>
      </c>
    </row>
    <row r="58">
      <c r="A58" s="128" t="n">
        <v>46318</v>
      </c>
      <c r="B58" t="n">
        <v>7</v>
      </c>
      <c r="C58" s="129" t="n">
        <v>759.97</v>
      </c>
      <c r="D58" t="inlineStr">
        <is>
          <t>P 775 2026-10-30</t>
        </is>
      </c>
      <c r="E58" t="n">
        <v>-1</v>
      </c>
      <c r="F58" s="130" t="n">
        <v>0.12368913813741</v>
      </c>
      <c r="G58" s="131" t="n">
        <v>15.33999999999992</v>
      </c>
      <c r="H58" s="132" t="n">
        <v>-1533.999999999992</v>
      </c>
      <c r="J58" s="133" t="n">
        <v>86.21375439774035</v>
      </c>
      <c r="K58" s="129" t="n">
        <v>-1.691996556980248</v>
      </c>
      <c r="L58" s="129" t="n">
        <v>13.13175772198688</v>
      </c>
      <c r="M58" s="129" t="n">
        <v>-23.18083690498144</v>
      </c>
      <c r="N58" t="inlineStr">
        <is>
          <t>mids</t>
        </is>
      </c>
    </row>
    <row r="59">
      <c r="A59" s="134" t="n">
        <v>46318</v>
      </c>
      <c r="B59" s="127" t="n">
        <v>7</v>
      </c>
      <c r="C59" s="135" t="n">
        <v>759.97</v>
      </c>
      <c r="D59" s="127" t="inlineStr">
        <is>
          <t>POSITION</t>
        </is>
      </c>
      <c r="E59" s="127" t="n"/>
      <c r="F59" s="127" t="n"/>
      <c r="G59" s="127" t="n"/>
      <c r="H59" s="136" t="n">
        <v>-1670.999999999992</v>
      </c>
      <c r="I59" s="137" t="n">
        <v>334.0000000000077</v>
      </c>
      <c r="J59" s="138" t="n">
        <v>68.99108542537348</v>
      </c>
      <c r="K59" s="135" t="n">
        <v>-3.396504923222304</v>
      </c>
      <c r="L59" s="135" t="n">
        <v>41.83628965543331</v>
      </c>
      <c r="M59" s="135" t="n">
        <v>-50.03588442688411</v>
      </c>
      <c r="N59" s="127" t="inlineStr">
        <is>
          <t>mids</t>
        </is>
      </c>
    </row>
    <row r="61">
      <c r="A61" s="128" t="n">
        <v>46321</v>
      </c>
      <c r="B61" t="n">
        <v>4</v>
      </c>
      <c r="C61" s="129" t="n">
        <v>765.37</v>
      </c>
      <c r="D61" t="inlineStr">
        <is>
          <t>C 775 2026-10-30</t>
        </is>
      </c>
      <c r="E61" t="n">
        <v>-1</v>
      </c>
      <c r="F61" s="130" t="n">
        <v>0.1450955752220055</v>
      </c>
      <c r="G61" s="131" t="n">
        <v>1.420000000000073</v>
      </c>
      <c r="H61" s="132" t="n">
        <v>-142.0000000000073</v>
      </c>
      <c r="J61" s="133" t="n">
        <v>-21.57187832560054</v>
      </c>
      <c r="K61" s="129" t="n">
        <v>-2.518242286299814</v>
      </c>
      <c r="L61" s="129" t="n">
        <v>44.33658418449495</v>
      </c>
      <c r="M61" s="129" t="n">
        <v>-23.45641724814123</v>
      </c>
      <c r="N61" t="inlineStr">
        <is>
          <t>mids</t>
        </is>
      </c>
    </row>
    <row r="62">
      <c r="A62" s="128" t="n">
        <v>46321</v>
      </c>
      <c r="B62" t="n">
        <v>4</v>
      </c>
      <c r="C62" s="129" t="n">
        <v>765.37</v>
      </c>
      <c r="D62" t="inlineStr">
        <is>
          <t>P 775 2026-10-30</t>
        </is>
      </c>
      <c r="E62" t="n">
        <v>-1</v>
      </c>
      <c r="F62" s="130" t="n">
        <v>0.1530490521252355</v>
      </c>
      <c r="G62" s="131" t="n">
        <v>10.89999999999986</v>
      </c>
      <c r="H62" s="132" t="n">
        <v>-1089.999999999986</v>
      </c>
      <c r="J62" s="133" t="n">
        <v>77.18759245248251</v>
      </c>
      <c r="K62" s="129" t="n">
        <v>-2.464845263718826</v>
      </c>
      <c r="L62" s="129" t="n">
        <v>39.73727253468278</v>
      </c>
      <c r="M62" s="129" t="n">
        <v>-24.21755542503164</v>
      </c>
      <c r="N62" t="inlineStr">
        <is>
          <t>mids</t>
        </is>
      </c>
    </row>
    <row r="63">
      <c r="A63" s="134" t="n">
        <v>46321</v>
      </c>
      <c r="B63" s="127" t="n">
        <v>4</v>
      </c>
      <c r="C63" s="135" t="n">
        <v>765.37</v>
      </c>
      <c r="D63" s="127" t="inlineStr">
        <is>
          <t>POSITION</t>
        </is>
      </c>
      <c r="E63" s="127" t="n"/>
      <c r="F63" s="127" t="n"/>
      <c r="G63" s="127" t="n"/>
      <c r="H63" s="136" t="n">
        <v>-1231.999999999994</v>
      </c>
      <c r="I63" s="137" t="n">
        <v>773.0000000000064</v>
      </c>
      <c r="J63" s="138" t="n">
        <v>55.61571412688196</v>
      </c>
      <c r="K63" s="135" t="n">
        <v>-4.98308755001864</v>
      </c>
      <c r="L63" s="135" t="n">
        <v>84.07385671917773</v>
      </c>
      <c r="M63" s="135" t="n">
        <v>-47.67397267317287</v>
      </c>
      <c r="N63" s="127" t="inlineStr">
        <is>
          <t>mids</t>
        </is>
      </c>
    </row>
    <row r="65">
      <c r="A65" s="128" t="n">
        <v>46322</v>
      </c>
      <c r="B65" t="n">
        <v>3</v>
      </c>
      <c r="C65" s="129" t="n">
        <v>769.66</v>
      </c>
      <c r="D65" t="inlineStr">
        <is>
          <t>C 775 2026-10-30</t>
        </is>
      </c>
      <c r="E65" t="n">
        <v>-1</v>
      </c>
      <c r="F65" s="130" t="n">
        <v>0.1544731362737804</v>
      </c>
      <c r="G65" s="131" t="n">
        <v>2.240000000000066</v>
      </c>
      <c r="H65" s="132" t="n">
        <v>-224.0000000000066</v>
      </c>
      <c r="J65" s="133" t="n">
        <v>-32.15986647817527</v>
      </c>
      <c r="K65" s="129" t="n">
        <v>-3.324661852889085</v>
      </c>
      <c r="L65" s="129" t="n">
        <v>67.06466903228184</v>
      </c>
      <c r="M65" s="129" t="n">
        <v>-25.00498898659247</v>
      </c>
      <c r="N65" t="inlineStr">
        <is>
          <t>mids</t>
        </is>
      </c>
    </row>
    <row r="66">
      <c r="A66" s="128" t="n">
        <v>46322</v>
      </c>
      <c r="B66" t="n">
        <v>3</v>
      </c>
      <c r="C66" s="129" t="n">
        <v>769.66</v>
      </c>
      <c r="D66" t="inlineStr">
        <is>
          <t>P 775 2026-10-30</t>
        </is>
      </c>
      <c r="E66" t="n">
        <v>-1</v>
      </c>
      <c r="F66" s="130" t="n">
        <v>0.1388742759198308</v>
      </c>
      <c r="G66" s="131" t="n">
        <v>6.940000000000055</v>
      </c>
      <c r="H66" s="132" t="n">
        <v>-694.0000000000055</v>
      </c>
      <c r="J66" s="133" t="n">
        <v>69.73376825292867</v>
      </c>
      <c r="K66" s="129" t="n">
        <v>-3.60236945193083</v>
      </c>
      <c r="L66" s="129" t="n">
        <v>50.41979288469147</v>
      </c>
      <c r="M66" s="129" t="n">
        <v>-24.3577002602593</v>
      </c>
      <c r="N66" t="inlineStr">
        <is>
          <t>mids</t>
        </is>
      </c>
    </row>
    <row r="67">
      <c r="A67" s="134" t="n">
        <v>46322</v>
      </c>
      <c r="B67" s="127" t="n">
        <v>3</v>
      </c>
      <c r="C67" s="135" t="n">
        <v>769.66</v>
      </c>
      <c r="D67" s="127" t="inlineStr">
        <is>
          <t>POSITION</t>
        </is>
      </c>
      <c r="E67" s="127" t="n"/>
      <c r="F67" s="127" t="n"/>
      <c r="G67" s="127" t="n"/>
      <c r="H67" s="136" t="n">
        <v>-918.0000000000121</v>
      </c>
      <c r="I67" s="137" t="n">
        <v>1086.999999999988</v>
      </c>
      <c r="J67" s="138" t="n">
        <v>37.57390177475339</v>
      </c>
      <c r="K67" s="135" t="n">
        <v>-6.927031304819915</v>
      </c>
      <c r="L67" s="135" t="n">
        <v>117.4844619169733</v>
      </c>
      <c r="M67" s="135" t="n">
        <v>-49.36268924685177</v>
      </c>
      <c r="N67" s="127" t="inlineStr">
        <is>
          <t>mids</t>
        </is>
      </c>
    </row>
    <row r="69">
      <c r="A69" s="128" t="n">
        <v>46323</v>
      </c>
      <c r="B69" t="n">
        <v>2</v>
      </c>
      <c r="C69" s="129" t="n">
        <v>772.3099999999999</v>
      </c>
      <c r="D69" t="inlineStr">
        <is>
          <t>C 775 2026-10-30</t>
        </is>
      </c>
      <c r="E69" t="n">
        <v>-1</v>
      </c>
      <c r="F69" s="130" t="n">
        <v>0.1411561494937789</v>
      </c>
      <c r="G69" s="131" t="n">
        <v>2.120000000000005</v>
      </c>
      <c r="H69" s="132" t="n">
        <v>-212.0000000000005</v>
      </c>
      <c r="J69" s="133" t="n">
        <v>-37.95877051602066</v>
      </c>
      <c r="K69" s="129" t="n">
        <v>-4.716743342198751</v>
      </c>
      <c r="L69" s="129" t="n">
        <v>79.97905534650599</v>
      </c>
      <c r="M69" s="129" t="n">
        <v>-21.76018061078792</v>
      </c>
      <c r="N69" t="inlineStr">
        <is>
          <t>mids</t>
        </is>
      </c>
    </row>
    <row r="70">
      <c r="A70" s="128" t="n">
        <v>46323</v>
      </c>
      <c r="B70" t="n">
        <v>2</v>
      </c>
      <c r="C70" s="129" t="n">
        <v>772.3099999999999</v>
      </c>
      <c r="D70" t="inlineStr">
        <is>
          <t>P 775 2026-10-30</t>
        </is>
      </c>
      <c r="E70" t="n">
        <v>-1</v>
      </c>
      <c r="F70" s="130" t="n">
        <v>0.1576092468473608</v>
      </c>
      <c r="G70" s="131" t="n">
        <v>5.000000000000171</v>
      </c>
      <c r="H70" s="132" t="n">
        <v>-500.0000000000171</v>
      </c>
      <c r="J70" s="133" t="n">
        <v>60.77297143919829</v>
      </c>
      <c r="K70" s="129" t="n">
        <v>-4.265167795994765</v>
      </c>
      <c r="L70" s="129" t="n">
        <v>81.37009546973576</v>
      </c>
      <c r="M70" s="129" t="n">
        <v>-21.97041511788612</v>
      </c>
      <c r="N70" t="inlineStr">
        <is>
          <t>mids</t>
        </is>
      </c>
    </row>
    <row r="71">
      <c r="A71" s="134" t="n">
        <v>46323</v>
      </c>
      <c r="B71" s="127" t="n">
        <v>2</v>
      </c>
      <c r="C71" s="135" t="n">
        <v>772.3099999999999</v>
      </c>
      <c r="D71" s="127" t="inlineStr">
        <is>
          <t>POSITION</t>
        </is>
      </c>
      <c r="E71" s="127" t="n"/>
      <c r="F71" s="127" t="n"/>
      <c r="G71" s="127" t="n"/>
      <c r="H71" s="136" t="n">
        <v>-712.0000000000175</v>
      </c>
      <c r="I71" s="137" t="n">
        <v>1292.999999999982</v>
      </c>
      <c r="J71" s="138" t="n">
        <v>22.81420092317763</v>
      </c>
      <c r="K71" s="135" t="n">
        <v>-8.981911138193517</v>
      </c>
      <c r="L71" s="135" t="n">
        <v>161.3491508162417</v>
      </c>
      <c r="M71" s="135" t="n">
        <v>-43.73059572867404</v>
      </c>
      <c r="N71" s="127" t="inlineStr">
        <is>
          <t>mids</t>
        </is>
      </c>
    </row>
    <row r="73">
      <c r="A73" s="128" t="n">
        <v>46324</v>
      </c>
      <c r="B73" t="n">
        <v>1</v>
      </c>
      <c r="C73" s="129" t="n">
        <v>769.36</v>
      </c>
      <c r="D73" t="inlineStr">
        <is>
          <t>C 775 2026-10-30</t>
        </is>
      </c>
      <c r="E73" t="n">
        <v>-1</v>
      </c>
      <c r="F73" s="130" t="n">
        <v>0.09376794878204654</v>
      </c>
      <c r="G73" s="131" t="n">
        <v>0.119999999999969</v>
      </c>
      <c r="H73" s="132" t="n">
        <v>-11.9999999999969</v>
      </c>
      <c r="J73" s="133" t="n">
        <v>-7.167977140279666</v>
      </c>
      <c r="K73" s="129" t="n">
        <v>-3.621151991317152</v>
      </c>
      <c r="L73" s="129" t="n">
        <v>26.41921871011063</v>
      </c>
      <c r="M73" s="129" t="n">
        <v>-5.506396890060334</v>
      </c>
      <c r="N73" t="inlineStr">
        <is>
          <t>mids</t>
        </is>
      </c>
    </row>
    <row r="74">
      <c r="A74" s="128" t="n">
        <v>46324</v>
      </c>
      <c r="B74" t="n">
        <v>1</v>
      </c>
      <c r="C74" s="129" t="n">
        <v>769.36</v>
      </c>
      <c r="D74" t="inlineStr">
        <is>
          <t>P 775 2026-10-30</t>
        </is>
      </c>
      <c r="E74" t="n">
        <v>-1</v>
      </c>
      <c r="F74" s="130" t="n">
        <v>0.3852385113837293</v>
      </c>
      <c r="G74" s="131" t="n">
        <v>9.379999999999882</v>
      </c>
      <c r="H74" s="132" t="n">
        <v>-937.9999999999882</v>
      </c>
      <c r="J74" s="133" t="n">
        <v>63.55949176228408</v>
      </c>
      <c r="K74" s="129" t="n">
        <v>-2.42155643941221</v>
      </c>
      <c r="L74" s="129" t="n">
        <v>285.9388145729066</v>
      </c>
      <c r="M74" s="129" t="n">
        <v>-15.12831759559812</v>
      </c>
      <c r="N74" t="inlineStr">
        <is>
          <t>mids</t>
        </is>
      </c>
    </row>
    <row r="75">
      <c r="A75" s="134" t="n">
        <v>46324</v>
      </c>
      <c r="B75" s="127" t="n">
        <v>1</v>
      </c>
      <c r="C75" s="135" t="n">
        <v>769.36</v>
      </c>
      <c r="D75" s="127" t="inlineStr">
        <is>
          <t>POSITION</t>
        </is>
      </c>
      <c r="E75" s="127" t="n"/>
      <c r="F75" s="127" t="n"/>
      <c r="G75" s="127" t="n"/>
      <c r="H75" s="136" t="n">
        <v>-949.9999999999851</v>
      </c>
      <c r="I75" s="137" t="n">
        <v>1055.000000000015</v>
      </c>
      <c r="J75" s="138" t="n">
        <v>56.39151462200442</v>
      </c>
      <c r="K75" s="135" t="n">
        <v>-6.042708430729363</v>
      </c>
      <c r="L75" s="135" t="n">
        <v>312.3580332830172</v>
      </c>
      <c r="M75" s="135" t="n">
        <v>-20.63471448565846</v>
      </c>
      <c r="N75" s="127" t="inlineStr">
        <is>
          <t>mids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2026-08-31T18:53:15Z</dcterms:created>
  <dcterms:modified xsi:type="dcterms:W3CDTF">2026-10-30T21:15:05Z</dcterms:modified>
  <cp:revision>0</cp:revision>
</cp:coreProperties>
</file>